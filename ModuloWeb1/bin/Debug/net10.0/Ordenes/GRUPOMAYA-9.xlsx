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2738177A-CF18-4C46-9123-83C3D39A85A5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<x:sst xmlns:x="http://schemas.openxmlformats.org/spreadsheetml/2006/main">
  <x:si>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</x:si>
  <x:si>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</x:si>
  <x:si>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</x:si>
  <x:si>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</x:si>
  <x:si>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</x:si>
  <x:si>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</x:si>
  <x:si>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</x:si>
  <x:si>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</x:si>
  <x:si>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</x:si>
  <x:si>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</x:si>
  <x:si>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</x:si>
  <x:si>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</x:si>
  <x:si>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</x:si>
  <x:si>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</x:si>
  <x:si>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</x:si>
  <x:si>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</x:si>
  <x:si>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</x:si>
  <x:si>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</x:si>
  <x:si>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</x:si>
  <x:si>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</x:si>
  <x:si>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</x:si>
  <x:si>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</x:si>
  <x:si>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</x:si>
  <x:si>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</x:si>
  <x:si>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</x:si>
  <x:si>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</x:si>
  <x:si>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</x:si>
  <x:si>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</x:si>
  <x:si>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</x:si>
  <x:si>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</x:si>
  <x:si>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</x:si>
  <x:si>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</x:si>
  <x:si>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</x:si>
  <x:si>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</x:si>
  <x:si>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</x:si>
  <x:si>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</x:si>
  <x:si>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</x:si>
  <x:si>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</x:si>
  <x:si>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</x:si>
  <x:si>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</x:si>
  <x:si>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</x:si>
  <x:si>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</x:si>
  <x:si>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</x:si>
  <x:si>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43</x:t>
  </x:si>
  <x:si>
    <x:t>GRUPOMAYA-9</x:t>
  </x:si>
  <x:si>
    <x:t>19/03/2026</x:t>
  </x:si>
  <x:si>
    <x:t>COP</x:t>
  </x:si>
  <x:si>
    <x:t>UND</x:t>
  </x:si>
  <x:si>
    <x:t>Observaciones:</x:t>
  </x:si>
  <x:si>
    <x:t>Firma y sello</x:t>
  </x:si>
  <x:si>
    <x:t>Subtotal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</x:si>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</x:sst>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9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55"/>
      <x:c r="D8" s="55"/>
      <x:c r="E8" s="55"/>
      <x:c r="F8" s="55"/>
      <x:c r="G8" s="55"/>
      <x:c r="H8" s="88"/>
      <x:c r="J8" s="87" t="s">
        <x:v>0</x:v>
      </x:c>
      <x:c r="K8" s="55"/>
      <x:c r="L8" s="55"/>
      <x:c r="M8" s="55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0"/>
      <x:c r="J9" s="90" t="s">
        <x:v>1</x:v>
      </x:c>
      <x:c r="K9" s="91"/>
      <x:c r="L9" s="91"/>
      <x:c r="M9" s="91"/>
      <x:c r="N9" s="6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0"/>
      <x:c r="J10" s="90" t="s">
        <x:v>2</x:v>
      </x:c>
      <x:c r="K10" s="91"/>
      <x:c r="L10" s="91"/>
      <x:c r="M10" s="91"/>
      <x:c r="N10" s="6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0"/>
      <x:c r="J11" s="90" t="s">
        <x:v>3</x:v>
      </x:c>
      <x:c r="K11" s="91"/>
      <x:c r="L11" s="91"/>
      <x:c r="M11" s="91"/>
      <x:c r="N11" s="6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60"/>
      <x:c r="J12" s="90" t="s">
        <x:v>5</x:v>
      </x:c>
      <x:c r="K12" s="91"/>
      <x:c r="L12" s="91"/>
      <x:c r="M12" s="92" t="s">
        <x:v>6</x:v>
      </x:c>
      <x:c r="N12" s="60"/>
    </x:row>
    <x:row r="13" spans="1:26" ht="22.5" customHeight="1">
      <x:c r="B13" s="93">
        <x:f>"Contacto: " &amp; Instancia!C2</x:f>
      </x:c>
      <x:c r="C13" s="64"/>
      <x:c r="D13" s="64"/>
      <x:c r="E13" s="64"/>
      <x:c r="F13" s="94"/>
      <x:c r="G13" s="64"/>
      <x:c r="H13" s="67"/>
      <x:c r="J13" s="95" t="s">
        <x:v>7</x:v>
      </x:c>
      <x:c r="K13" s="91"/>
      <x:c r="L13" s="91"/>
      <x:c r="M13" s="91"/>
      <x:c r="N13" s="60"/>
    </x:row>
    <x:row r="14" spans="1:26" ht="12.75" customHeight="1">
      <x:c r="B14" s="71" t="s">
        <x:v>8</x:v>
      </x:c>
      <x:c r="C14" s="72"/>
      <x:c r="D14" s="73"/>
      <x:c r="E14" s="71" t="s">
        <x:v>9</x:v>
      </x:c>
      <x:c r="F14" s="73"/>
      <x:c r="G14" s="71" t="s">
        <x:v>10</x:v>
      </x:c>
      <x:c r="H14" s="72"/>
      <x:c r="I14" s="73"/>
      <x:c r="J14" s="79">
        <x:f>"Entregar a Alterno: " &amp; Instancia!H2</x:f>
      </x:c>
      <x:c r="K14" s="72"/>
      <x:c r="L14" s="72"/>
      <x:c r="M14" s="72"/>
      <x:c r="N14" s="73"/>
    </x:row>
    <x:row r="15" spans="1:26" ht="12.75" customHeight="1">
      <x:c r="B15" s="83">
        <x:f>Instancia!E2</x:f>
      </x:c>
      <x:c r="C15" s="72"/>
      <x:c r="D15" s="73"/>
      <x:c r="E15" s="84">
        <x:f>Instancia!F2</x:f>
      </x:c>
      <x:c r="F15" s="73"/>
      <x:c r="G15" s="84">
        <x:f>Instancia!P2</x:f>
      </x:c>
      <x:c r="H15" s="72"/>
      <x:c r="I15" s="73"/>
      <x:c r="J15" s="79">
        <x:f>"Entregar a: " &amp; Instancia!G2</x:f>
      </x:c>
      <x:c r="K15" s="72"/>
      <x:c r="L15" s="72"/>
      <x:c r="M15" s="72"/>
      <x:c r="N15" s="73"/>
    </x:row>
    <x:row r="16" spans="1:26" ht="12.75" customHeight="1">
      <x:c r="B16" s="80">
        <x:f>"Condiciones de pago: " &amp; Instancia!I2</x:f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3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1</x:v>
      </x:c>
      <x:c r="K19" s="100" t="s">
        <x:v>47</x:v>
      </x:c>
      <x:c r="L19" s="104">
        <x:v>43</x:v>
      </x:c>
      <x:c r="M19" s="100">
        <x:v>3</x:v>
      </x:c>
      <x:c r="N19" s="105">
        <x:f>J19*L19*(1-(M19/100))*(1+(I19/100))</x:f>
      </x:c>
    </x:row>
    <x:row r="20" spans="1:26" ht="50" customHeight="1">
      <x:c r="B20" s="106" t="s">
        <x:v>48</x:v>
      </x:c>
      <x:c r="C20" s="107"/>
      <x:c r="D20" s="107"/>
      <x:c r="E20" s="107"/>
      <x:c r="F20" s="107"/>
      <x:c r="G20" s="108"/>
      <x:c r="H20" s="109" t="s">
        <x:v>49</x:v>
      </x:c>
      <x:c r="I20" s="107"/>
      <x:c r="J20" s="108"/>
      <x:c r="K20" s="110" t="s">
        <x:v>50</x:v>
      </x:c>
      <x:c r="L20" s="111"/>
      <x:c r="M20" s="112" t="s">
        <x:v>51</x:v>
      </x:c>
      <x:c r="N20" s="113">
        <x:v>41.71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4" t="s">
        <x:v>52</x:v>
      </x:c>
      <x:c r="L21" s="115"/>
      <x:c r="M21" s="116" t="s">
        <x:v>51</x:v>
      </x:c>
      <x:c r="N21" s="117">
        <x:v>7.9249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18" t="s">
        <x:v>53</x:v>
      </x:c>
      <x:c r="L22" s="119"/>
      <x:c r="M22" s="102" t="s">
        <x:v>51</x:v>
      </x:c>
      <x:c r="N22" s="120">
        <x:v>49.6349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1" t="s">
        <x:v>23</x:v>
      </x:c>
      <x:c r="C1" s="122" t="s">
        <x:v>24</x:v>
      </x:c>
      <x:c r="D1" s="122" t="s">
        <x:v>25</x:v>
      </x:c>
      <x:c r="E1" s="122" t="s">
        <x:v>26</x:v>
      </x:c>
      <x:c r="F1" s="121" t="s">
        <x:v>9</x:v>
      </x:c>
      <x:c r="G1" s="121" t="s">
        <x:v>27</x:v>
      </x:c>
      <x:c r="H1" s="121" t="s">
        <x:v>28</x:v>
      </x:c>
      <x:c r="I1" s="122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2026-03-19T21:59:57.0000000Z</dcterms:modified>
  <dcterms:created xsi:type="dcterms:W3CDTF">2026-03-19T23:40:27.8910195Z</dcterms:created>
</coreProperties>
</file>