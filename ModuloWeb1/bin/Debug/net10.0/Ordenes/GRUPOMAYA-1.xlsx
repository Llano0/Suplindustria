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  <x:c r="N21" i="1"/>
  <x:c r="N22" i="1"/>
  <x:c r="N23" i="1"/>
  <x:c r="N24" i="1"/>
  <x:c r="N25" i="1"/>
  <x:c r="N26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<x:sst xmlns:x="http://schemas.openxmlformats.org/spreadsheetml/2006/main">
  <x:si>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</x:si>
  <x:si>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</x:si>
  <x:si>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</x:si>
  <x:si>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</x:si>
  <x:si>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</x:si>
  <x:si>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</x:si>
  <x:si>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</x:si>
  <x:si>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</x:si>
  <x:si>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</x:si>
  <x:si>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</x:si>
  <x:si>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</x:si>
  <x:si>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</x:si>
  <x:si>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</x:si>
  <x:si>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</x:si>
  <x:si>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</x:si>
  <x:si>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</x:si>
  <x:si>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</x:si>
  <x:si>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</x:si>
  <x:si>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</x:si>
  <x:si>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</x:si>
  <x:si>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</x:si>
  <x:si>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</x:si>
  <x:si>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</x:si>
  <x:si>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</x:si>
  <x:si>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</x:si>
  <x:si>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</x:si>
  <x:si>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</x:si>
  <x:si>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</x:si>
  <x:si>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</x:si>
  <x:si>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</x:si>
  <x:si>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</x:si>
  <x:si>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</x:si>
  <x:si>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</x:si>
  <x:si>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</x:si>
  <x:si>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</x:si>
  <x:si>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</x:si>
  <x:si>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17/03/2026</x:t>
  </x:si>
  <x:si>
    <x:t>NA</x:t>
  </x:si>
  <x:si>
    <x:t>SUPLINDUSTRIA S.A.S.</x:t>
  </x:si>
  <x:si>
    <x:t>30 días</x:t>
  </x:si>
  <x:si>
    <x:t>GRUPO MAYA VELASQUEZ S.A.S</x:t>
  </x:si>
  <x:si>
    <x:t>K56AC52F07CX</x:t>
  </x:si>
  <x:si>
    <x:t>UND</x:t>
  </x:si>
  <x:si>
    <x:t>2026-03-17</x:t>
  </x:si>
  <x:si>
    <x:t>MOTOR CENTURY SEMI ABIERTO DE 1/2HP 1800 RPM</x:t>
  </x:si>
  <x:si>
    <x:t>K48AA87F07CX</x:t>
  </x:si>
  <x:si>
    <x:t>GRUPOMAYA-1</x:t>
  </x:si>
  <x:si>
    <x:t>COP</x:t>
  </x:si>
  <x:si>
    <x:t>MOTOR CENTURY SEMI ABIERTO DE 3/4HP 1800 RPM</x:t>
  </x:si>
  <x:si>
    <x:t>K56AC53F07CX</x:t>
  </x:si>
  <x:si>
    <x:t>MOTOR CENTURY SEMI ABIERTO DE 1 HP 1800 RPM</x:t>
  </x:si>
  <x:si>
    <x:t>K56AC54F07CX</x:t>
  </x:si>
  <x:si>
    <x:t>MOTOR CENTURY SEMI ABIERTO DE 1 1/2 HP 1800 RPM</x:t>
  </x:si>
  <x:si>
    <x:t>K56AC55F07CX</x:t>
  </x:si>
  <x:si>
    <x:t>MOTOR CENTURY SEMI ABIERTO DE 2 HP 1800 RPM</x:t>
  </x:si>
  <x:si>
    <x:t>K56AC50F07CX</x:t>
  </x:si>
  <x:si>
    <x:t>MOTOR CENTURY SEMI ABIERTO DE 2 HP 3600 RPM</x:t>
  </x:si>
  <x:si>
    <x:t>K56AD49F07CX</x:t>
  </x:si>
  <x:si>
    <x:t>MOTOR CENTURY SEMI ABIERTO DE 3 HP 1800 RPM</x:t>
  </x:si>
  <x:si>
    <x:t>Observaciones:</x:t>
  </x:si>
  <x:si>
    <x:t>Firma y sello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</x:si>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</x:sst>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6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170" fontId="10" fillId="0" borderId="1" applyNumberFormat="1" applyFill="1" applyBorder="1" applyAlignment="1" applyProtection="1">
      <x:protection locked="1" hidden="0"/>
    </x:xf>
    <x:xf numFmtId="170" fontId="10" fillId="0" borderId="29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70" fontId="2" fillId="0" borderId="1" applyNumberFormat="1" applyFill="1" applyBorder="1" applyAlignment="1" applyProtection="1">
      <x:protection locked="1" hidden="0"/>
    </x:xf>
    <x:xf numFmtId="170" fontId="2" fillId="0" borderId="29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67" fontId="3" fillId="0" borderId="34" applyNumberFormat="1" applyFill="1" applyBorder="1" applyAlignment="1" applyProtection="1">
      <x:protection locked="1" hidden="0"/>
    </x:xf>
    <x:xf numFmtId="0" fontId="6" fillId="0" borderId="34" applyNumberFormat="1" applyFill="1" applyBorder="1" applyAlignment="1" applyProtection="1">
      <x:protection locked="1" hidden="0"/>
    </x:xf>
    <x:xf numFmtId="170" fontId="6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8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2" fillId="0" borderId="2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0" fontId="6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45</x:v>
      </x:c>
      <x:c r="E19" s="100" t="s">
        <x:v>35</x:v>
      </x:c>
      <x:c r="F19" s="100" t="s">
        <x:v>35</x:v>
      </x:c>
      <x:c r="G19" s="102" t="s">
        <x:v>44</x:v>
      </x:c>
      <x:c r="H19" s="103" t="s">
        <x:v>43</x:v>
      </x:c>
      <x:c r="I19" s="100">
        <x:v>19</x:v>
      </x:c>
      <x:c r="J19" s="100">
        <x:v>4</x:v>
      </x:c>
      <x:c r="K19" s="100" t="s">
        <x:v>42</x:v>
      </x:c>
      <x:c r="L19" s="104">
        <x:v>364917.96</x:v>
      </x:c>
      <x:c r="M19" s="100">
        <x:v>0</x:v>
      </x:c>
      <x:c r="N19" s="105">
        <x:f>J19*L19*(1-(M19/100))*(1+(I19/100))</x:f>
      </x:c>
    </x:row>
    <x:row r="20" spans="1:26" ht="112.5" customHeight="1">
      <x:c r="B20" s="99">
        <x:v>2</x:v>
      </x:c>
      <x:c r="C20" s="100"/>
      <x:c r="D20" s="100" t="s">
        <x:v>41</x:v>
      </x:c>
      <x:c r="E20" s="102" t="s">
        <x:v>35</x:v>
      </x:c>
      <x:c r="F20" s="100" t="s">
        <x:v>35</x:v>
      </x:c>
      <x:c r="G20" s="102" t="s">
        <x:v>48</x:v>
      </x:c>
      <x:c r="H20" s="102" t="s">
        <x:v>43</x:v>
      </x:c>
      <x:c r="I20" s="100">
        <x:v>19</x:v>
      </x:c>
      <x:c r="J20" s="100">
        <x:v>2</x:v>
      </x:c>
      <x:c r="K20" s="100" t="s">
        <x:v>42</x:v>
      </x:c>
      <x:c r="L20" s="104">
        <x:v>441173</x:v>
      </x:c>
      <x:c r="M20" s="102">
        <x:v>0</x:v>
      </x:c>
      <x:c r="N20" s="106">
        <x:f>J20*L20*(1-(M20/100))*(1+(I20/100))</x:f>
      </x:c>
    </x:row>
    <x:row r="21" spans="1:26" ht="112.5" customHeight="1">
      <x:c r="B21" s="99">
        <x:v>3</x:v>
      </x:c>
      <x:c r="C21" s="100"/>
      <x:c r="D21" s="100" t="s">
        <x:v>49</x:v>
      </x:c>
      <x:c r="E21" s="107" t="s">
        <x:v>35</x:v>
      </x:c>
      <x:c r="F21" s="107" t="s">
        <x:v>35</x:v>
      </x:c>
      <x:c r="G21" s="107" t="s">
        <x:v>50</x:v>
      </x:c>
      <x:c r="H21" s="107" t="s">
        <x:v>43</x:v>
      </x:c>
      <x:c r="I21" s="107">
        <x:v>19</x:v>
      </x:c>
      <x:c r="J21" s="107">
        <x:v>3</x:v>
      </x:c>
      <x:c r="K21" s="107" t="s">
        <x:v>42</x:v>
      </x:c>
      <x:c r="L21" s="108">
        <x:v>503148</x:v>
      </x:c>
      <x:c r="M21" s="107">
        <x:v>0</x:v>
      </x:c>
      <x:c r="N21" s="109">
        <x:f>J21*L21*(1-(M21/100))*(1+(I21/100))</x:f>
      </x:c>
    </x:row>
    <x:row r="22" spans="1:26" ht="112.5" customHeight="1">
      <x:c r="B22" s="99">
        <x:v>4</x:v>
      </x:c>
      <x:c r="C22" s="100"/>
      <x:c r="D22" s="100" t="s">
        <x:v>51</x:v>
      </x:c>
      <x:c r="E22" s="102" t="s">
        <x:v>35</x:v>
      </x:c>
      <x:c r="F22" s="100" t="s">
        <x:v>35</x:v>
      </x:c>
      <x:c r="G22" s="102" t="s">
        <x:v>52</x:v>
      </x:c>
      <x:c r="H22" s="100" t="s">
        <x:v>43</x:v>
      </x:c>
      <x:c r="I22" s="100">
        <x:v>19</x:v>
      </x:c>
      <x:c r="J22" s="100">
        <x:v>1</x:v>
      </x:c>
      <x:c r="K22" s="100" t="s">
        <x:v>42</x:v>
      </x:c>
      <x:c r="L22" s="104">
        <x:v>601671</x:v>
      </x:c>
      <x:c r="M22" s="102">
        <x:v>0</x:v>
      </x:c>
      <x:c r="N22" s="106">
        <x:f>J22*L22*(1-(M22/100))*(1+(I22/100))</x:f>
      </x:c>
    </x:row>
    <x:row r="23" spans="1:26" ht="112.5" customHeight="1">
      <x:c r="B23" s="99">
        <x:v>5</x:v>
      </x:c>
      <x:c r="C23" s="100"/>
      <x:c r="D23" s="100" t="s">
        <x:v>53</x:v>
      </x:c>
      <x:c r="E23" s="102" t="s">
        <x:v>35</x:v>
      </x:c>
      <x:c r="F23" s="100" t="s">
        <x:v>35</x:v>
      </x:c>
      <x:c r="G23" s="102" t="s">
        <x:v>54</x:v>
      </x:c>
      <x:c r="H23" s="102" t="s">
        <x:v>43</x:v>
      </x:c>
      <x:c r="I23" s="100">
        <x:v>19</x:v>
      </x:c>
      <x:c r="J23" s="100">
        <x:v>2</x:v>
      </x:c>
      <x:c r="K23" s="100" t="s">
        <x:v>42</x:v>
      </x:c>
      <x:c r="L23" s="104">
        <x:v>668674</x:v>
      </x:c>
      <x:c r="M23" s="102">
        <x:v>0</x:v>
      </x:c>
      <x:c r="N23" s="106">
        <x:f>J23*L23*(1-(M23/100))*(1+(I23/100))</x:f>
      </x:c>
      <x:c r="O23" s="20"/>
    </x:row>
    <x:row r="24" spans="1:26" ht="112.5" customHeight="1">
      <x:c r="B24" s="99">
        <x:v>6</x:v>
      </x:c>
      <x:c r="C24" s="100"/>
      <x:c r="D24" s="100" t="s">
        <x:v>55</x:v>
      </x:c>
      <x:c r="E24" s="102" t="s">
        <x:v>35</x:v>
      </x:c>
      <x:c r="F24" s="110" t="s">
        <x:v>35</x:v>
      </x:c>
      <x:c r="G24" s="111" t="s">
        <x:v>56</x:v>
      </x:c>
      <x:c r="H24" s="110" t="s">
        <x:v>43</x:v>
      </x:c>
      <x:c r="I24" s="110">
        <x:v>19</x:v>
      </x:c>
      <x:c r="J24" s="112">
        <x:v>2</x:v>
      </x:c>
      <x:c r="K24" s="110" t="s">
        <x:v>42</x:v>
      </x:c>
      <x:c r="L24" s="113">
        <x:v>596768</x:v>
      </x:c>
      <x:c r="M24" s="114">
        <x:v>0</x:v>
      </x:c>
      <x:c r="N24" s="115">
        <x:f>J24*L24*(1-(M24/100))*(1+(I24/100))</x:f>
      </x:c>
    </x:row>
    <x:row r="25" spans="1:26" ht="112.5" customHeight="1">
      <x:c r="B25" s="99">
        <x:v>7</x:v>
      </x:c>
      <x:c r="C25" s="100"/>
      <x:c r="D25" s="100" t="s">
        <x:v>57</x:v>
      </x:c>
      <x:c r="E25" s="102" t="s">
        <x:v>35</x:v>
      </x:c>
      <x:c r="F25" s="100" t="s">
        <x:v>35</x:v>
      </x:c>
      <x:c r="G25" s="116" t="s">
        <x:v>58</x:v>
      </x:c>
      <x:c r="H25" s="102" t="s">
        <x:v>43</x:v>
      </x:c>
      <x:c r="I25" s="100">
        <x:v>19</x:v>
      </x:c>
      <x:c r="J25" s="100">
        <x:v>4</x:v>
      </x:c>
      <x:c r="K25" s="117" t="s">
        <x:v>42</x:v>
      </x:c>
      <x:c r="L25" s="104">
        <x:v>873827</x:v>
      </x:c>
      <x:c r="M25" s="102">
        <x:v>0</x:v>
      </x:c>
      <x:c r="N25" s="106">
        <x:f>J25*L25*(1-(M25/100))*(1+(I25/100))</x:f>
      </x:c>
    </x:row>
    <x:row r="26" spans="1:26" ht="50" customHeight="1">
      <x:c r="B26" s="118" t="s">
        <x:v>59</x:v>
      </x:c>
      <x:c r="C26" s="119"/>
      <x:c r="D26" s="119"/>
      <x:c r="E26" s="119"/>
      <x:c r="F26" s="119"/>
      <x:c r="G26" s="120"/>
      <x:c r="H26" s="121" t="s">
        <x:v>60</x:v>
      </x:c>
      <x:c r="I26" s="119"/>
      <x:c r="J26" s="120"/>
      <x:c r="K26" s="122"/>
      <x:c r="L26" s="123"/>
      <x:c r="M26" s="124" t="s">
        <x:v>61</x:v>
      </x:c>
      <x:c r="N26" s="125">
        <x:f>SUM(N19:N25)</x:f>
      </x:c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4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6:G26"/>
    <x:mergeCell ref="H26:J2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6" t="s">
        <x:v>25</x:v>
      </x:c>
      <x:c r="C1" s="127" t="s">
        <x:v>26</x:v>
      </x:c>
      <x:c r="D1" s="127" t="s">
        <x:v>27</x:v>
      </x:c>
      <x:c r="E1" s="127" t="s">
        <x:v>28</x:v>
      </x:c>
      <x:c r="F1" s="126" t="s">
        <x:v>11</x:v>
      </x:c>
      <x:c r="G1" s="126" t="s">
        <x:v>29</x:v>
      </x:c>
      <x:c r="H1" s="126" t="s">
        <x:v>30</x:v>
      </x:c>
      <x:c r="I1" s="127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35</x:v>
      </x:c>
      <x:c r="E2" s="55" t="s">
        <x:v>36</x:v>
      </x:c>
      <x:c r="F2" s="52" t="s">
        <x:v>47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35</x:v>
      </x:c>
      <x:c r="N2" s="52" t="s">
        <x:v>35</x:v>
      </x:c>
      <x:c r="O2" s="52" t="s">
        <x:v>35</x:v>
      </x:c>
      <x:c r="P2" s="52" t="s">
        <x:v>35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2026-03-17T19:51:26.6745336Z</dcterms:created>
</coreProperties>
</file>