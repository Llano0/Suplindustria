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2738177A-CF18-4C46-9123-83C3D39A85A5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<x:sst xmlns:x="http://schemas.openxmlformats.org/spreadsheetml/2006/main">
  <x:si>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</x:si>
  <x:si>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</x:si>
  <x:si>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</x:si>
  <x:si>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</x:si>
  <x:si>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</x:si>
  <x:si>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</x:si>
  <x:si>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</x:si>
  <x:si>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</x:si>
  <x:si>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</x:si>
  <x:si>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</x:si>
  <x:si>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</x:si>
  <x:si>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</x:si>
  <x:si>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</x:si>
  <x:si>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</x:si>
  <x:si>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</x:si>
  <x:si>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</x:si>
  <x:si>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</x:si>
  <x:si>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</x:si>
  <x:si>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</x:si>
  <x:si>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</x:si>
  <x:si>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</x:si>
  <x:si>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</x:si>
  <x:si>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</x:si>
  <x:si>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</x:si>
  <x:si>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</x:si>
  <x:si>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</x:si>
  <x:si>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</x:si>
  <x:si>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</x:si>
  <x:si>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</x:si>
  <x:si>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</x:si>
  <x:si>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</x:si>
  <x:si>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</x:si>
  <x:si>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</x:si>
  <x:si>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Juan Gonzalo Velásquez</x:t>
  </x:si>
  <x:si>
    <x:t>gerencia@mayavelasquez.com.co</x:t>
  </x:si>
  <x:si>
    <x:t>NA</x:t>
  </x:si>
  <x:si>
    <x:t>SUPLINDUSTRIA S.A.S.</x:t>
  </x:si>
  <x:si>
    <x:t>30 días</x:t>
  </x:si>
  <x:si>
    <x:t>GRUPO MAYA VELASQUEZ S.A.S</x:t>
  </x:si>
  <x:si>
    <x:t>900536499-7</x:t>
  </x:si>
  <x:si>
    <x:t>Medellin</x:t>
  </x:si>
  <x:si>
    <x:t>CL 29 D  55 153</x:t>
  </x:si>
  <x:si>
    <x:t/>
  </x:si>
  <x:si>
    <x:t>432</x:t>
  </x:si>
  <x:si>
    <x:t>GRUPOMAYA-12</x:t>
  </x:si>
  <x:si>
    <x:t>19/03/2026</x:t>
  </x:si>
  <x:si>
    <x:t>COP</x:t>
  </x:si>
  <x:si>
    <x:t>UND</x:t>
  </x:si>
  <x:si>
    <x:t>Observaciones:</x:t>
  </x:si>
  <x:si>
    <x:t>Firma y sello</x:t>
  </x:si>
  <x:si>
    <x:t>Subtotal</x:t>
  </x:si>
  <x:si>
    <x:t>$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</x:si>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</x:sst>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5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59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3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170" fontId="10" fillId="0" borderId="28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3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7" fillId="0" borderId="20" xfId="0" applyFont="1" applyBorder="1"/>
    <x:xf numFmtId="0" fontId="7" fillId="0" borderId="21" xfId="0" applyFont="1" applyBorder="1"/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2" fillId="0" borderId="17" xfId="0" applyFont="1" applyBorder="1" applyAlignment="1"/>
    <x:xf numFmtId="0" fontId="2" fillId="0" borderId="17" xfId="0" applyFont="1" applyBorder="1"/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G4" sqref="G4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7">
        <x:f>"Proveedor: " &amp; Instancia!L2</x:f>
      </x:c>
      <x:c r="C8" s="55"/>
      <x:c r="D8" s="55"/>
      <x:c r="E8" s="55"/>
      <x:c r="F8" s="55"/>
      <x:c r="G8" s="55"/>
      <x:c r="H8" s="88"/>
      <x:c r="J8" s="87" t="s">
        <x:v>0</x:v>
      </x:c>
      <x:c r="K8" s="55"/>
      <x:c r="L8" s="55"/>
      <x:c r="M8" s="55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0"/>
      <x:c r="J9" s="90" t="s">
        <x:v>1</x:v>
      </x:c>
      <x:c r="K9" s="91"/>
      <x:c r="L9" s="91"/>
      <x:c r="M9" s="91"/>
      <x:c r="N9" s="60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0"/>
      <x:c r="J10" s="90" t="s">
        <x:v>2</x:v>
      </x:c>
      <x:c r="K10" s="91"/>
      <x:c r="L10" s="91"/>
      <x:c r="M10" s="91"/>
      <x:c r="N10" s="60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0"/>
      <x:c r="J11" s="90" t="s">
        <x:v>3</x:v>
      </x:c>
      <x:c r="K11" s="91"/>
      <x:c r="L11" s="91"/>
      <x:c r="M11" s="91"/>
      <x:c r="N11" s="60"/>
    </x:row>
    <x:row r="12" spans="1:26" ht="12.75" customHeight="1" hidden="1">
      <x:c r="B12" s="90" t="s">
        <x:v>4</x:v>
      </x:c>
      <x:c r="C12" s="91"/>
      <x:c r="D12" s="91"/>
      <x:c r="E12" s="91"/>
      <x:c r="F12" s="91"/>
      <x:c r="G12" s="91"/>
      <x:c r="H12" s="60"/>
      <x:c r="J12" s="90" t="s">
        <x:v>5</x:v>
      </x:c>
      <x:c r="K12" s="91"/>
      <x:c r="L12" s="91"/>
      <x:c r="M12" s="92" t="s">
        <x:v>6</x:v>
      </x:c>
      <x:c r="N12" s="60"/>
    </x:row>
    <x:row r="13" spans="1:26" ht="22.5" customHeight="1">
      <x:c r="B13" s="93">
        <x:f>"Contacto: " &amp; Instancia!C2</x:f>
      </x:c>
      <x:c r="C13" s="64"/>
      <x:c r="D13" s="64"/>
      <x:c r="E13" s="64"/>
      <x:c r="F13" s="94"/>
      <x:c r="G13" s="64"/>
      <x:c r="H13" s="67"/>
      <x:c r="J13" s="95" t="s">
        <x:v>7</x:v>
      </x:c>
      <x:c r="K13" s="91"/>
      <x:c r="L13" s="91"/>
      <x:c r="M13" s="91"/>
      <x:c r="N13" s="60"/>
    </x:row>
    <x:row r="14" spans="1:26" ht="12.75" customHeight="1">
      <x:c r="B14" s="71" t="s">
        <x:v>8</x:v>
      </x:c>
      <x:c r="C14" s="72"/>
      <x:c r="D14" s="73"/>
      <x:c r="E14" s="71" t="s">
        <x:v>9</x:v>
      </x:c>
      <x:c r="F14" s="73"/>
      <x:c r="G14" s="71" t="s">
        <x:v>10</x:v>
      </x:c>
      <x:c r="H14" s="72"/>
      <x:c r="I14" s="73"/>
      <x:c r="J14" s="79">
        <x:f>"Entregar a Alterno: " &amp; Instancia!H2</x:f>
      </x:c>
      <x:c r="K14" s="72"/>
      <x:c r="L14" s="72"/>
      <x:c r="M14" s="72"/>
      <x:c r="N14" s="73"/>
    </x:row>
    <x:row r="15" spans="1:26" ht="12.75" customHeight="1">
      <x:c r="B15" s="83">
        <x:f>Instancia!E2</x:f>
      </x:c>
      <x:c r="C15" s="72"/>
      <x:c r="D15" s="73"/>
      <x:c r="E15" s="84">
        <x:f>Instancia!F2</x:f>
      </x:c>
      <x:c r="F15" s="73"/>
      <x:c r="G15" s="84">
        <x:f>Instancia!P2</x:f>
      </x:c>
      <x:c r="H15" s="72"/>
      <x:c r="I15" s="73"/>
      <x:c r="J15" s="79">
        <x:f>"Entregar a: " &amp; Instancia!G2</x:f>
      </x:c>
      <x:c r="K15" s="72"/>
      <x:c r="L15" s="72"/>
      <x:c r="M15" s="72"/>
      <x:c r="N15" s="73"/>
    </x:row>
    <x:row r="16" spans="1:26" ht="12.75" customHeight="1">
      <x:c r="B16" s="80">
        <x:f>"Condiciones de pago: " &amp; Instancia!I2</x:f>
      </x:c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3"/>
    </x:row>
    <x:row r="17" spans="1:26" ht="22.5" customHeight="1"/>
    <x:row r="18" spans="1:26" ht="24.75" customHeight="1">
      <x:c r="B18" s="96" t="s">
        <x:v>11</x:v>
      </x:c>
      <x:c r="C18" s="97"/>
      <x:c r="D18" s="97" t="s">
        <x:v>12</x:v>
      </x:c>
      <x:c r="E18" s="97" t="s">
        <x:v>13</x:v>
      </x:c>
      <x:c r="F18" s="97" t="s">
        <x:v>14</x:v>
      </x:c>
      <x:c r="G18" s="97" t="s">
        <x:v>15</x:v>
      </x:c>
      <x:c r="H18" s="97" t="s">
        <x:v>16</x:v>
      </x:c>
      <x:c r="I18" s="97" t="s">
        <x:v>17</x:v>
      </x:c>
      <x:c r="J18" s="97" t="s">
        <x:v>18</x:v>
      </x:c>
      <x:c r="K18" s="97" t="s">
        <x:v>19</x:v>
      </x:c>
      <x:c r="L18" s="97" t="s">
        <x:v>20</x:v>
      </x:c>
      <x:c r="M18" s="97" t="s">
        <x:v>21</x:v>
      </x:c>
      <x:c r="N18" s="98" t="s">
        <x:v>22</x:v>
      </x:c>
    </x:row>
    <x:row r="19" spans="1:26" ht="112.5" customHeight="1">
      <x:c r="B19" s="99">
        <x:v>1</x:v>
      </x:c>
      <x:c r="C19" s="100"/>
      <x:c r="D19" s="101" t="s">
        <x:v>42</x:v>
      </x:c>
      <x:c r="E19" s="100" t="s">
        <x:v>42</x:v>
      </x:c>
      <x:c r="F19" s="100" t="s">
        <x:v>42</x:v>
      </x:c>
      <x:c r="G19" s="102" t="s">
        <x:v>43</x:v>
      </x:c>
      <x:c r="H19" s="103" t="s">
        <x:v>42</x:v>
      </x:c>
      <x:c r="I19" s="100">
        <x:v>19</x:v>
      </x:c>
      <x:c r="J19" s="100">
        <x:v>1</x:v>
      </x:c>
      <x:c r="K19" s="100" t="s">
        <x:v>47</x:v>
      </x:c>
      <x:c r="L19" s="104">
        <x:v>32</x:v>
      </x:c>
      <x:c r="M19" s="100">
        <x:v>0</x:v>
      </x:c>
      <x:c r="N19" s="105">
        <x:f>J19*L19*(1-(M19/100))*(1+(I19/100))</x:f>
      </x:c>
    </x:row>
    <x:row r="20" spans="1:26" ht="50" customHeight="1">
      <x:c r="B20" s="106" t="s">
        <x:v>48</x:v>
      </x:c>
      <x:c r="C20" s="107"/>
      <x:c r="D20" s="107"/>
      <x:c r="E20" s="107"/>
      <x:c r="F20" s="107"/>
      <x:c r="G20" s="108"/>
      <x:c r="H20" s="109" t="s">
        <x:v>49</x:v>
      </x:c>
      <x:c r="I20" s="107"/>
      <x:c r="J20" s="108"/>
      <x:c r="K20" s="110" t="s">
        <x:v>50</x:v>
      </x:c>
      <x:c r="L20" s="111"/>
      <x:c r="M20" s="112" t="s">
        <x:v>51</x:v>
      </x:c>
      <x:c r="N20" s="113">
        <x:v>32</x:v>
      </x:c>
    </x:row>
    <x:row r="21" spans="1:26" ht="15" customHeight="1">
      <x:c r="B21" s="8"/>
      <x:c r="C21" s="8"/>
      <x:c r="D21" s="8"/>
      <x:c r="E21" s="17"/>
      <x:c r="F21" s="17"/>
      <x:c r="G21" s="17"/>
      <x:c r="H21" s="17"/>
      <x:c r="I21" s="17"/>
      <x:c r="J21" s="17"/>
      <x:c r="K21" s="114" t="s">
        <x:v>52</x:v>
      </x:c>
      <x:c r="L21" s="115"/>
      <x:c r="M21" s="116" t="s">
        <x:v>51</x:v>
      </x:c>
      <x:c r="N21" s="117">
        <x:v>6.08</x:v>
      </x:c>
    </x:row>
    <x:row r="22" spans="1:26" ht="15" customHeight="1">
      <x:c r="B22" s="8"/>
      <x:c r="C22" s="8"/>
      <x:c r="D22" s="8"/>
      <x:c r="E22" s="12"/>
      <x:c r="F22" s="8"/>
      <x:c r="G22" s="8"/>
      <x:c r="H22" s="8"/>
      <x:c r="I22" s="8"/>
      <x:c r="J22" s="8"/>
      <x:c r="K22" s="118" t="s">
        <x:v>53</x:v>
      </x:c>
      <x:c r="L22" s="119"/>
      <x:c r="M22" s="102" t="s">
        <x:v>51</x:v>
      </x:c>
      <x:c r="N22" s="120">
        <x:v>38.08</x:v>
      </x:c>
    </x:row>
    <x:row r="23" spans="1:26" ht="112.5" customHeight="1">
      <x:c r="B23" s="8"/>
      <x:c r="C23" s="8"/>
      <x:c r="D23" s="8"/>
      <x:c r="E23" s="12"/>
      <x:c r="F23" s="8"/>
      <x:c r="G23" s="12"/>
      <x:c r="H23" s="12"/>
      <x:c r="I23" s="8"/>
      <x:c r="J23" s="8"/>
      <x:c r="K23" s="8"/>
      <x:c r="L23" s="14"/>
      <x:c r="M23" s="12"/>
      <x:c r="N23" s="16"/>
      <x:c r="O23" s="18"/>
    </x:row>
    <x:row r="24" spans="1:26" ht="112.5" customHeight="1">
      <x:c r="B24" s="8"/>
      <x:c r="C24" s="8"/>
      <x:c r="D24" s="8"/>
      <x:c r="E24" s="12"/>
      <x:c r="F24" s="19"/>
      <x:c r="G24" s="19"/>
      <x:c r="H24" s="19"/>
      <x:c r="I24" s="19"/>
      <x:c r="J24" s="19"/>
      <x:c r="K24" s="19"/>
      <x:c r="L24" s="19"/>
      <x:c r="M24" s="21"/>
      <x:c r="N24" s="21"/>
    </x:row>
    <x:row r="25" spans="1:26" ht="112.5" customHeight="1">
      <x:c r="B25" s="8"/>
      <x:c r="C25" s="8"/>
      <x:c r="D25" s="8"/>
      <x:c r="E25" s="12"/>
      <x:c r="F25" s="8"/>
      <x:c r="G25" s="23"/>
      <x:c r="H25" s="12"/>
      <x:c r="I25" s="8"/>
      <x:c r="J25" s="8"/>
      <x:c r="K25" s="24"/>
      <x:c r="L25" s="25"/>
      <x:c r="M25" s="26"/>
      <x:c r="N25" s="27"/>
    </x:row>
    <x:row r="26" spans="1:26" ht="112.5" customHeight="1">
      <x:c r="B26" s="28"/>
      <x:c r="C26" s="28"/>
      <x:c r="D26" s="8"/>
      <x:c r="E26" s="12"/>
      <x:c r="F26" s="8"/>
      <x:c r="G26" s="12"/>
      <x:c r="H26" s="12"/>
      <x:c r="I26" s="8"/>
      <x:c r="J26" s="8"/>
      <x:c r="K26" s="24"/>
      <x:c r="L26" s="25"/>
      <x:c r="M26" s="26"/>
      <x:c r="N26" s="30"/>
    </x:row>
    <x:row r="27" spans="1:26" ht="112.5" customHeight="1">
      <x:c r="B27" s="28"/>
      <x:c r="C27" s="28"/>
      <x:c r="D27" s="8"/>
      <x:c r="E27" s="12"/>
      <x:c r="F27" s="8"/>
      <x:c r="G27" s="12"/>
      <x:c r="H27" s="12"/>
      <x:c r="I27" s="8"/>
      <x:c r="J27" s="8"/>
      <x:c r="K27" s="24"/>
      <x:c r="L27" s="25"/>
      <x:c r="M27" s="26"/>
      <x:c r="N27" s="30"/>
    </x:row>
    <x:row r="28" spans="1:26" ht="112.5" customHeight="1" hidden="1">
      <x:c r="B28" s="28"/>
      <x:c r="C28" s="28"/>
      <x:c r="D28" s="8"/>
      <x:c r="E28" s="12"/>
      <x:c r="F28" s="8"/>
      <x:c r="G28" s="12"/>
      <x:c r="H28" s="12"/>
      <x:c r="I28" s="8"/>
      <x:c r="J28" s="8"/>
      <x:c r="K28" s="24"/>
      <x:c r="L28" s="34"/>
      <x:c r="M28" s="26"/>
      <x:c r="N28" s="35"/>
    </x:row>
    <x:row r="29" spans="1:26" ht="112.5" customHeight="1" hidden="1">
      <x:c r="B29" s="28"/>
      <x:c r="C29" s="28"/>
      <x:c r="K29" s="24"/>
      <x:c r="M29" s="26"/>
    </x:row>
    <x:row r="30" spans="1:26" ht="112.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24"/>
      <x:c r="L30" s="25"/>
      <x:c r="M30" s="26"/>
      <x:c r="N30" s="35"/>
    </x:row>
    <x:row r="31" spans="1:26" ht="112.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24"/>
      <x:c r="L31" s="25"/>
      <x:c r="M31" s="26"/>
      <x:c r="N31" s="35"/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7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K20:L20"/>
    <x:mergeCell ref="K21:L21"/>
    <x:mergeCell ref="K22:L22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1" t="s">
        <x:v>23</x:v>
      </x:c>
      <x:c r="C1" s="122" t="s">
        <x:v>24</x:v>
      </x:c>
      <x:c r="D1" s="122" t="s">
        <x:v>25</x:v>
      </x:c>
      <x:c r="E1" s="122" t="s">
        <x:v>26</x:v>
      </x:c>
      <x:c r="F1" s="121" t="s">
        <x:v>9</x:v>
      </x:c>
      <x:c r="G1" s="121" t="s">
        <x:v>27</x:v>
      </x:c>
      <x:c r="H1" s="121" t="s">
        <x:v>28</x:v>
      </x:c>
      <x:c r="I1" s="122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34</x:v>
      </x:c>
      <x:c r="E2" s="53" t="s">
        <x:v>45</x:v>
      </x:c>
      <x:c r="F2" s="50" t="s">
        <x:v>46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39</x:v>
      </x:c>
      <x:c r="N2" s="50" t="s">
        <x:v>40</x:v>
      </x:c>
      <x:c r="O2" s="50" t="s">
        <x:v>41</x:v>
      </x:c>
      <x:c r="P2" s="50" t="s">
        <x:v>42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2026-03-19T21:59:57.0000000Z</dcterms:modified>
  <dcterms:created xsi:type="dcterms:W3CDTF">2026-03-19T23:59:14.0471365Z</dcterms:created>
</coreProperties>
</file>