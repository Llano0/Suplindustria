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086B9B91-C8D3-4E46-AAC5-F36A31431B11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<x:sst xmlns:x="http://schemas.openxmlformats.org/spreadsheetml/2006/main">
  <x:si>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</x:si>
  <x:si>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</x:si>
  <x:si>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</x:si>
  <x:si>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</x:si>
  <x:si>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</x:si>
  <x:si>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</x:si>
  <x:si>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</x:si>
  <x:si>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</x:si>
  <x:si>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</x:si>
  <x:si>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</x:si>
  <x:si>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</x:si>
  <x:si>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</x:si>
  <x:si>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</x:si>
  <x:si>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 xml:space="preserve">Descripcion </x:t>
  </x:si>
  <x:si>
    <x:t>Modelo</x:t>
  </x:si>
  <x:si>
    <x:t>N° Catálogo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</x:si>
  <x:si>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</x:si>
  <x:si>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</x:si>
  <x:si>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</x:si>
  <x:si>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</x:si>
  <x:si>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</x:si>
  <x:si>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</x:si>
  <x:si>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</x:si>
  <x:si>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</x:si>
  <x:si>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</x:si>
  <x:si>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</x:si>
  <x:si>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</x:si>
  <x:si>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</x:si>
  <x:si>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</x:si>
  <x:si>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</x:si>
  <x:si>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</x:si>
  <x:si>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</x:si>
  <x:si>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</x:si>
  <x:si>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</x:si>
  <x:si>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07/04/2026</x:t>
  </x:si>
  <x:si>
    <x:t>NA</x:t>
  </x:si>
  <x:si>
    <x:t>SUPLINDUSTRIA S.A.S.</x:t>
  </x:si>
  <x:si>
    <x:t>30 días</x:t>
  </x:si>
  <x:si>
    <x:t>4</x:t>
  </x:si>
  <x:si>
    <x:t>Subtotal</x:t>
  </x:si>
  <x:si>
    <x:t>Firma y sello</x:t>
  </x:si>
  <x:si>
    <x:t>Observaciones:</x:t>
  </x:si>
  <x:si>
    <x:t>UND</x:t>
  </x:si>
  <x:si>
    <x:t>REF. HD100P1ES MOTOR US MOTORS NEMA PREMIUM 100 HP @ 3600 RPM FRAME 405TS</x:t>
  </x:si>
  <x:si>
    <x:t>4-1</x:t>
  </x:si>
  <x:si>
    <x:t>COP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</x:si>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</x:sst>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6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u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60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0" fontId="12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4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5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7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6" fillId="2" borderId="23" xfId="0" applyFont="1" applyFill="1" applyBorder="1" applyAlignment="1">
      <x:alignment horizontal="center"/>
    </x:xf>
    <x:xf numFmtId="0" fontId="12" fillId="0" borderId="0" xfId="0" applyFont="1" applyAlignment="1">
      <x:alignment horizontal="center" vertical="center" wrapText="1"/>
    </x:xf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topLeftCell="B7" zoomScale="85" zoomScaleNormal="85" workbookViewId="0">
      <x:selection activeCell="G19" sqref="G19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8.179688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9">
        <x:f>"Proveedor: " &amp; Instancia!L2</x:f>
      </x:c>
      <x:c r="C8" s="57"/>
      <x:c r="D8" s="57"/>
      <x:c r="E8" s="57"/>
      <x:c r="F8" s="57"/>
      <x:c r="G8" s="57"/>
      <x:c r="H8" s="90"/>
      <x:c r="J8" s="89" t="s">
        <x:v>0</x:v>
      </x:c>
      <x:c r="K8" s="57"/>
      <x:c r="L8" s="57"/>
      <x:c r="M8" s="57"/>
      <x:c r="N8" s="91"/>
    </x:row>
    <x:row r="9" spans="1:26" ht="12.75" customHeight="1">
      <x:c r="B9" s="92">
        <x:f>"NIT/CC: " &amp; Instancia!M2</x:f>
      </x:c>
      <x:c r="C9" s="93"/>
      <x:c r="D9" s="93"/>
      <x:c r="E9" s="93"/>
      <x:c r="F9" s="93"/>
      <x:c r="G9" s="93"/>
      <x:c r="H9" s="62"/>
      <x:c r="J9" s="92" t="s">
        <x:v>1</x:v>
      </x:c>
      <x:c r="K9" s="93"/>
      <x:c r="L9" s="93"/>
      <x:c r="M9" s="93"/>
      <x:c r="N9" s="62"/>
    </x:row>
    <x:row r="10" spans="1:26" ht="12.75" customHeight="1">
      <x:c r="B10" s="92">
        <x:f>"Ciudad: " &amp; Instancia!N2</x:f>
      </x:c>
      <x:c r="C10" s="93"/>
      <x:c r="D10" s="93"/>
      <x:c r="E10" s="93"/>
      <x:c r="F10" s="93"/>
      <x:c r="G10" s="93"/>
      <x:c r="H10" s="62"/>
      <x:c r="J10" s="92" t="s">
        <x:v>2</x:v>
      </x:c>
      <x:c r="K10" s="93"/>
      <x:c r="L10" s="93"/>
      <x:c r="M10" s="93"/>
      <x:c r="N10" s="62"/>
    </x:row>
    <x:row r="11" spans="1:26" ht="12.75" customHeight="1">
      <x:c r="B11" s="92">
        <x:f>"Dirección: " &amp; Instancia!O2</x:f>
      </x:c>
      <x:c r="C11" s="93"/>
      <x:c r="D11" s="93"/>
      <x:c r="E11" s="93"/>
      <x:c r="F11" s="93"/>
      <x:c r="G11" s="93"/>
      <x:c r="H11" s="62"/>
      <x:c r="J11" s="92" t="s">
        <x:v>3</x:v>
      </x:c>
      <x:c r="K11" s="93"/>
      <x:c r="L11" s="93"/>
      <x:c r="M11" s="93"/>
      <x:c r="N11" s="62"/>
    </x:row>
    <x:row r="12" spans="1:26" ht="12.75" customHeight="1" hidden="1">
      <x:c r="B12" s="92" t="s">
        <x:v>4</x:v>
      </x:c>
      <x:c r="C12" s="93"/>
      <x:c r="D12" s="93"/>
      <x:c r="E12" s="93"/>
      <x:c r="F12" s="93"/>
      <x:c r="G12" s="93"/>
      <x:c r="H12" s="62"/>
      <x:c r="J12" s="92" t="s">
        <x:v>5</x:v>
      </x:c>
      <x:c r="K12" s="93"/>
      <x:c r="L12" s="93"/>
      <x:c r="M12" s="94" t="s">
        <x:v>6</x:v>
      </x:c>
      <x:c r="N12" s="62"/>
    </x:row>
    <x:row r="13" spans="1:26" ht="22.5" customHeight="1">
      <x:c r="B13" s="95">
        <x:f>"Contacto: " &amp; Instancia!C2</x:f>
      </x:c>
      <x:c r="C13" s="66"/>
      <x:c r="D13" s="66"/>
      <x:c r="E13" s="66"/>
      <x:c r="F13" s="96"/>
      <x:c r="G13" s="66"/>
      <x:c r="H13" s="69"/>
      <x:c r="J13" s="97" t="s">
        <x:v>7</x:v>
      </x:c>
      <x:c r="K13" s="93"/>
      <x:c r="L13" s="93"/>
      <x:c r="M13" s="93"/>
      <x:c r="N13" s="62"/>
    </x:row>
    <x:row r="14" spans="1:26" ht="12.75" customHeight="1">
      <x:c r="B14" s="73" t="s">
        <x:v>8</x:v>
      </x:c>
      <x:c r="C14" s="74"/>
      <x:c r="D14" s="75"/>
      <x:c r="E14" s="73" t="s">
        <x:v>9</x:v>
      </x:c>
      <x:c r="F14" s="75"/>
      <x:c r="G14" s="73" t="s">
        <x:v>10</x:v>
      </x:c>
      <x:c r="H14" s="74"/>
      <x:c r="I14" s="75"/>
      <x:c r="J14" s="81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85">
        <x:f>Instancia!E2</x:f>
      </x:c>
      <x:c r="C15" s="74"/>
      <x:c r="D15" s="75"/>
      <x:c r="E15" s="86">
        <x:f>Instancia!F2</x:f>
      </x:c>
      <x:c r="F15" s="75"/>
      <x:c r="G15" s="86">
        <x:f>Instancia!P2</x:f>
      </x:c>
      <x:c r="H15" s="74"/>
      <x:c r="I15" s="75"/>
      <x:c r="J15" s="81">
        <x:f>"Entregar a: " &amp; Instancia!G2</x:f>
      </x:c>
      <x:c r="K15" s="74"/>
      <x:c r="L15" s="74"/>
      <x:c r="M15" s="74"/>
      <x:c r="N15" s="75"/>
    </x:row>
    <x:row r="16" spans="1:26" ht="12.75" customHeight="1">
      <x:c r="B16" s="82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8" t="s">
        <x:v>11</x:v>
      </x:c>
      <x:c r="C18" s="99"/>
      <x:c r="D18" s="99" t="s">
        <x:v>12</x:v>
      </x:c>
      <x:c r="E18" s="99" t="s">
        <x:v>13</x:v>
      </x:c>
      <x:c r="F18" s="99" t="s">
        <x:v>14</x:v>
      </x:c>
      <x:c r="G18" s="99" t="s">
        <x:v>15</x:v>
      </x:c>
      <x:c r="H18" s="99" t="s">
        <x:v>16</x:v>
      </x:c>
      <x:c r="I18" s="99" t="s">
        <x:v>17</x:v>
      </x:c>
      <x:c r="J18" s="99" t="s">
        <x:v>18</x:v>
      </x:c>
      <x:c r="K18" s="99" t="s">
        <x:v>19</x:v>
      </x:c>
      <x:c r="L18" s="99" t="s">
        <x:v>20</x:v>
      </x:c>
      <x:c r="M18" s="99" t="s">
        <x:v>21</x:v>
      </x:c>
      <x:c r="N18" s="100" t="s">
        <x:v>22</x:v>
      </x:c>
    </x:row>
    <x:row r="19" spans="1:26" ht="112.5" customHeight="1">
      <x:c r="B19" s="101">
        <x:v>1</x:v>
      </x:c>
      <x:c r="C19" s="102"/>
      <x:c r="D19" s="103" t="s">
        <x:v>33</x:v>
      </x:c>
      <x:c r="E19" s="104" t="s">
        <x:v>43</x:v>
      </x:c>
      <x:c r="F19" s="102" t="s">
        <x:v>33</x:v>
      </x:c>
      <x:c r="G19" s="105" t="s">
        <x:v>33</x:v>
      </x:c>
      <x:c r="H19" s="106" t="s">
        <x:v>33</x:v>
      </x:c>
      <x:c r="I19" s="102">
        <x:v>19</x:v>
      </x:c>
      <x:c r="J19" s="102">
        <x:v>1</x:v>
      </x:c>
      <x:c r="K19" s="102" t="s">
        <x:v>42</x:v>
      </x:c>
      <x:c r="L19" s="107">
        <x:v>21089572.06</x:v>
      </x:c>
      <x:c r="M19" s="102">
        <x:v>0</x:v>
      </x:c>
      <x:c r="N19" s="108">
        <x:f>J19*L19*(1-(M19/100))*(1+(I19/100))</x:f>
      </x:c>
    </x:row>
    <x:row r="20" spans="1:26" ht="50" customHeight="1">
      <x:c r="B20" s="109" t="s">
        <x:v>41</x:v>
      </x:c>
      <x:c r="C20" s="110"/>
      <x:c r="D20" s="110"/>
      <x:c r="E20" s="110"/>
      <x:c r="F20" s="110"/>
      <x:c r="G20" s="111"/>
      <x:c r="H20" s="112" t="s">
        <x:v>40</x:v>
      </x:c>
      <x:c r="I20" s="110"/>
      <x:c r="J20" s="111"/>
      <x:c r="K20" s="113" t="s">
        <x:v>39</x:v>
      </x:c>
      <x:c r="L20" s="114"/>
      <x:c r="M20" s="115" t="s">
        <x:v>46</x:v>
      </x:c>
      <x:c r="N20" s="116">
        <x:v>21089572.06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7" t="s">
        <x:v>47</x:v>
      </x:c>
      <x:c r="L21" s="118"/>
      <x:c r="M21" s="119" t="s">
        <x:v>46</x:v>
      </x:c>
      <x:c r="N21" s="120">
        <x:v>4007018.6914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21" t="s">
        <x:v>48</x:v>
      </x:c>
      <x:c r="L22" s="122"/>
      <x:c r="M22" s="123" t="s">
        <x:v>46</x:v>
      </x:c>
      <x:c r="N22" s="124">
        <x:v>25096590.7514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.3937007874015748" right="0.3937007874015748" top="0.3937007874015748" bottom="0.3937007874015748" header="0.31496062992125984" footer="0.31496062992125984"/>
  <x:pageSetup paperSize="9" pageOrder="downThenOver" orientation="landscape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5" t="s">
        <x:v>23</x:v>
      </x:c>
      <x:c r="C1" s="126" t="s">
        <x:v>24</x:v>
      </x:c>
      <x:c r="D1" s="126" t="s">
        <x:v>25</x:v>
      </x:c>
      <x:c r="E1" s="126" t="s">
        <x:v>26</x:v>
      </x:c>
      <x:c r="F1" s="125" t="s">
        <x:v>9</x:v>
      </x:c>
      <x:c r="G1" s="125" t="s">
        <x:v>27</x:v>
      </x:c>
      <x:c r="H1" s="125" t="s">
        <x:v>28</x:v>
      </x:c>
      <x:c r="I1" s="126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33</x:v>
      </x:c>
      <x:c r="E2" s="53" t="s">
        <x:v>34</x:v>
      </x:c>
      <x:c r="F2" s="50" t="s">
        <x:v>45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33</x:v>
      </x:c>
      <x:c r="N2" s="50" t="s">
        <x:v>33</x:v>
      </x:c>
      <x:c r="O2" s="50" t="s">
        <x:v>33</x:v>
      </x:c>
      <x:c r="P2" s="50" t="s">
        <x:v>33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2026-03-28T03:49:08.0000000Z</dcterms:modified>
  <dcterms:created xsi:type="dcterms:W3CDTF">2026-04-07T18:26:18.0902957Z</dcterms:created>
</coreProperties>
</file>