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9" /><Relationship Type="http://schemas.openxmlformats.org/package/2006/relationships/metadata/core-properties" Target="/package/services/metadata/core-properties/14742b35ceea426f83139272eca2c16d.psmdcp" Id="R965d27f607e84c0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Hoja1" sheetId="1" r:id="rId4"/>
    <x:sheet name="info" sheetId="2" r:id="rId5"/>
    <x:sheet name="forms_productos" sheetId="3" r:id="rId6"/>
    <x:sheet name="Instancia" sheetId="4" r:id="rId7"/>
    <x:sheet name="forms" sheetId="5" r:id="rId8"/>
  </x:sheets>
  <x:definedNames/>
  <x:calcPr/>
</x:workbook>
</file>

<file path=xl/calcChain.xml><?xml version="1.0" encoding="utf-8"?>
<x:calcChain xmlns:x="http://schemas.openxmlformats.org/spreadsheetml/2006/main">
  <x:c r="I6" i="1"/>
  <x:c r="M6" i="1"/>
  <x:c r="B8" i="1"/>
  <x:c r="B9" i="1"/>
  <x:c r="B10" i="1"/>
  <x:c r="B11" i="1"/>
  <x:c r="B13" i="1"/>
  <x:c r="J14" i="1"/>
  <x:c r="B15" i="1"/>
  <x:c r="E15" i="1"/>
  <x:c r="G15" i="1"/>
  <x:c r="J15" i="1"/>
  <x:c r="B16" i="1"/>
  <x:c r="N19" i="1"/>
  <x:c r="N20" i="1"/>
</x:calcChain>
</file>

<file path=xl/sharedStrings.xml><?xml version="1.0" encoding="utf-8"?>
<x:sst xmlns:x="http://schemas.openxmlformats.org/spreadsheetml/2006/main">
  <x:si>
    <x:t>Estado de orden:</x:t>
  </x:si>
  <x:si>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</x:si>
  <x:si>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</x:si>
  <x:si>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</x:si>
  <x:si>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</x:si>
  <x:si>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</x:si>
  <x:si>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</x:si>
  <x:si>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</x:si>
  <x:si>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</x:si>
  <x:si>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</x:si>
  <x:si>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</x:si>
  <x:si>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</x:si>
  <x:si>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</x:si>
  <x:si>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</x:si>
  <x:si>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</x:si>
  <x:si>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</x:si>
  <x:si>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</x:si>
  <x:si>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</x:si>
  <x:si>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</x:si>
  <x:si>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</x:si>
  <x:si>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</x:si>
  <x:si>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</x:si>
  <x:si>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</x:si>
  <x:si>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</x:si>
  <x:si>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 xml:space="preserve">Número de Orden </x:t>
  </x:si>
  <x:si>
    <x:t>Proveedor</x:t>
  </x:si>
  <x:si>
    <x:t>NIT/CC</x:t>
  </x:si>
  <x:si>
    <x:t>Ciudad</x:t>
  </x:si>
  <x:si>
    <x:t>Dirección</x:t>
  </x:si>
  <x:si>
    <x:t xml:space="preserve">  Comprador  </x:t>
  </x:si>
  <x:si>
    <x:t>NIDEC_CORPORATION</x:t>
  </x:si>
  <x:si>
    <x:t>#</x:t>
  </x:si>
  <x:si>
    <x:t>ANNI CARMONA</x:t>
  </x:si>
  <x:si>
    <x:t>CONSORCIO_INDUSTRIAL_S.A</x:t>
  </x:si>
  <x:si>
    <x:t>890900290-0</x:t>
  </x:si>
  <x:si>
    <x:t xml:space="preserve">  Sabaneta</x:t>
  </x:si>
  <x:si>
    <x:t xml:space="preserve">Cr 48 A 60 A SUR 09 </x:t>
  </x:si>
  <x:si>
    <x:t>REGAL_BELOIT_DE_MEXICO</x:t>
  </x:si>
  <x:si>
    <x:t>UMS100217894</x:t>
  </x:si>
  <x:si>
    <x:t>SANTA CATARINA</x:t>
  </x:si>
  <x:si>
    <x:t>AV. TRANSFORMACION</x:t>
  </x:si>
  <x:si>
    <x:t xml:space="preserve">GRUPO_MAYA_VELÁSQUEZ_S.A.S_(POWER </x:t>
  </x:si>
  <x:si>
    <x:t xml:space="preserve"> 900536499-7     </x:t>
  </x:si>
  <x:si>
    <x:t>Medellín</x:t>
  </x:si>
  <x:si>
    <x:t xml:space="preserve">Calle 29D # 55-153  </x:t>
  </x:si>
  <x:si>
    <x:t>ABB_COLOMBIA_LTDA</x:t>
  </x:si>
  <x:si>
    <x:t>901283882-1</x:t>
  </x:si>
  <x:si>
    <x:t>Bogotá</x:t>
  </x:si>
  <x:si>
    <x:t>CR 45 108 27 TO 1 P 12 (!) PARALELO 108</x:t>
  </x:si>
  <x:si>
    <x:t xml:space="preserve">ALBA_LUCIA_ARIAS_CORRALES </x:t>
  </x:si>
  <x:si>
    <x:t>CALLE 58 SUR NO. 42 - 99 IN 142 URB SAN ANTONIO 2</x:t>
  </x:si>
  <x:si>
    <x:t xml:space="preserve">BEARINGS_TRANSMISSION_COLOMBIA </x:t>
  </x:si>
  <x:si>
    <x:t>830138228-7</x:t>
  </x:si>
  <x:si>
    <x:t>CR 58 14 01</x:t>
  </x:si>
  <x:si>
    <x:t>AUTOMEX</x:t>
  </x:si>
  <x:si>
    <x:t>CR 31 A 9 52</x:t>
  </x:si>
  <x:si>
    <x:t>GENERACION_Y_MAQUINARIA_SAS</x:t>
  </x:si>
  <x:si>
    <x:t>CL 26 92 32</x:t>
  </x:si>
  <x:si>
    <x:t>AQUATRECE</x:t>
  </x:si>
  <x:si>
    <x:t>900.386.335-3</x:t>
  </x:si>
  <x:si>
    <x:t xml:space="preserve"> CHIA </x:t>
  </x:si>
  <x:si>
    <x:t>CR 1 4 02 BG 11 PAR INDUSTRIAL K 2</x:t>
  </x:si>
  <x:si>
    <x:t>ALMACEN_BOMBAS_S.A</x:t>
  </x:si>
  <x:si>
    <x:t>CL 50 54 15</x:t>
  </x:si>
  <x:si>
    <x:t>HIDRAULICA_INDUSTRIAL_Y_METALMECANICA_S.A.S</x:t>
  </x:si>
  <x:si>
    <x:t>890.108.961-8</x:t>
  </x:si>
  <x:si>
    <x:t>SOLEDAD</x:t>
  </x:si>
  <x:si>
    <x:t>CL 19 1 314 AUT AEROPUERTO</x:t>
  </x:si>
  <x:si>
    <x:t>Marca temporal</x:t>
  </x:si>
  <x:si>
    <x:t xml:space="preserve">Número de orden </x:t>
  </x:si>
  <x:si>
    <x:t>Catálogo</x:t>
  </x:si>
  <x:si>
    <x:t xml:space="preserve">Modelo </x:t>
  </x:si>
  <x:si>
    <x:t xml:space="preserve">Descripción </x:t>
  </x:si>
  <x:si>
    <x:t xml:space="preserve">Fecha de entrega </x:t>
  </x:si>
  <x:si>
    <x:t xml:space="preserve">  ¿IVA?  </x:t>
  </x:si>
  <x:si>
    <x:t xml:space="preserve">  Cantidad  </x:t>
  </x:si>
  <x:si>
    <x:t xml:space="preserve">  Unidad de medida (UM)  </x:t>
  </x:si>
  <x:si>
    <x:t xml:space="preserve">  Precio unitario  </x:t>
  </x:si>
  <x:si>
    <x:t>%descuento</x:t>
  </x:si>
  <x:si>
    <x:t>Valor total</x:t>
  </x:si>
  <x:si>
    <x:t xml:space="preserve">  ¿Este es el último producto de la orden? </x:t>
  </x:si>
  <x:si>
    <x:t>SI</x:t>
  </x:si>
  <x:si>
    <x:t>Sí</x:t>
  </x:si>
  <x:si>
    <x:t>1-AQUATRECE</x:t>
  </x:si>
  <x:si>
    <x:t>1-AUTOMEX</x:t>
  </x:si>
  <x:si>
    <x:t>1-ABB_COLOMBIA_LTDA</x:t>
  </x:si>
  <x:si>
    <x:t>motor</x:t>
  </x:si>
  <x:si>
    <x:t>05/08/2025</x:t>
  </x:si>
  <x:si>
    <x:t>1-NIDEC_CORPORATION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</x:si>
  <x:si>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</x:si>
  <x:si>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</x:si>
  <x:si>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</x:si>
  <x:si>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</x:si>
  <x:si>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</x:si>
  <x:si>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</x:si>
  <x:si>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</x:si>
  <x:si>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</x:si>
  <x:si>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</x:si>
  <x:si>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</x:si>
  <x:si>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>Suministros XYZ</x:t>
  </x:si>
  <x:si>
    <x:t>DIEGO ZAPATA</x:t>
  </x:si>
  <x:si>
    <x:t>NA</x:t>
  </x:si>
  <x:si>
    <x:t>USD</x:t>
  </x:si>
  <x:si>
    <x:t>SUPLINDUSTRA SAS</x:t>
  </x:si>
  <x:si>
    <x:t>CRÉDITO</x:t>
  </x:si>
  <x:si>
    <x:t>06/08/2025</x:t>
  </x:si>
  <x:si>
    <x:t>JUAN CAMILO PIEDRAHITA</x:t>
  </x:si>
  <x:si>
    <x:t>contacto@xyz.com</x:t>
  </x:si>
  <x:si>
    <x:t>04/03/2026</x:t>
  </x:si>
  <x:si>
    <x:t>COP</x:t>
  </x:si>
  <x:si>
    <x:t>SUPLINDUSTRIA S.A.S.</x:t>
  </x:si>
  <x:si>
    <x:t>30 días</x:t>
  </x:si>
  <x:si>
    <x:t>800987654-3</x:t>
  </x:si>
  <x:si>
    <x:t>Carrera 70 #45-30</x:t>
  </x:si>
  <x:si>
    <x:t>COMPRADOR</x:t>
  </x:si>
  <x:si>
    <x:t/>
  </x:si>
  <x:si>
    <x:t>Monitor 24"</x:t>
  </x:si>
  <x:si>
    <x:t>UND</x:t>
  </x:si>
  <x:si>
    <x:t>TOTAL: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</x:si>
</x:sst>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8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m/d/yyyy h:mm:ss"/>
    <x:numFmt numFmtId="171" formatCode="#,##0.00"/>
  </x:numFmts>
  <x:fonts count="12">
    <x:font>
      <x:sz val="10.0"/>
      <x:color rgb="FF000000"/>
      <x:name val="Arial"/>
      <x:scheme val="minor"/>
    </x:font>
    <x:font>
      <x:sz val="8.0"/>
      <x:color theme="1"/>
      <x:name val="Arial"/>
    </x:font>
    <x:font>
      <x:color theme="1"/>
      <x:name val="Arial"/>
      <x:scheme val="minor"/>
    </x:font>
    <x:font>
      <x:sz val="10.0"/>
      <x:color theme="1"/>
      <x:name val="Arial"/>
    </x:font>
    <x:font>
      <x:b/>
      <x:sz val="14.0"/>
      <x:color theme="1"/>
      <x:name val="Arial"/>
    </x:font>
    <x:font>
      <x:b/>
      <x:sz val="14.0"/>
      <x:color theme="1"/>
      <x:name val="Arial"/>
      <x:scheme val="minor"/>
    </x:font>
    <x:font>
      <x:b/>
      <x:sz val="10.0"/>
      <x:color theme="1"/>
      <x:name val="Arial"/>
    </x:font>
    <x:font/>
    <x:font>
      <x:b/>
      <x:sz val="7.0"/>
      <x:color theme="1"/>
      <x:name val="Arial"/>
    </x:font>
    <x:font>
      <x:b/>
      <x:color theme="1"/>
      <x:name val="Arial"/>
    </x:font>
    <x:font>
      <x:sz val="9.0"/>
      <x:color theme="1"/>
      <x:name val="Arial"/>
    </x:font>
    <x:font>
      <x:sz val="12.0"/>
      <x:color rgb="FF202124"/>
      <x:name val="Docs-Roboto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2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/>
    </x:border>
    <x:border>
      <x:top style="thin">
        <x:color rgb="FF000000"/>
      </x:top>
      <x:bottom/>
    </x:border>
    <x:border>
      <x:right/>
      <x:top style="thin">
        <x:color rgb="FF000000"/>
      </x:top>
      <x:bottom/>
    </x:border>
    <x:border>
      <x:left/>
      <x:right style="thin">
        <x:color rgb="FF000000"/>
      </x:right>
      <x:top style="thin">
        <x:color rgb="FF000000"/>
      </x:top>
      <x:bottom/>
    </x:border>
    <x:border>
      <x:right style="thin">
        <x:color rgb="FF000000"/>
      </x:right>
      <x:top style="thin">
        <x:color rgb="FF000000"/>
      </x:top>
      <x:bottom/>
    </x:border>
    <x:border>
      <x:left style="thin">
        <x:color rgb="FF000000"/>
      </x:left>
      <x:top/>
      <x:bottom/>
    </x:border>
    <x:border>
      <x:top/>
      <x:bottom/>
    </x:border>
    <x:border>
      <x:right style="thin">
        <x:color rgb="FF000000"/>
      </x:right>
      <x:top/>
      <x:bottom/>
    </x:border>
    <x:border>
      <x:right/>
      <x:top/>
      <x:bottom/>
    </x:border>
    <x:border>
      <x:left/>
      <x:top/>
      <x:bottom/>
    </x:border>
    <x:border>
      <x:left style="thin">
        <x:color rgb="FF000000"/>
      </x:left>
      <x:top/>
      <x:bottom style="thin">
        <x:color rgb="FF000000"/>
      </x:bottom>
    </x:border>
    <x:border>
      <x:top/>
      <x:bottom style="thin">
        <x:color rgb="FF000000"/>
      </x:bottom>
    </x:border>
    <x:border>
      <x:right/>
      <x:top/>
      <x:bottom style="thin">
        <x:color rgb="FF000000"/>
      </x:bottom>
    </x:border>
    <x:border>
      <x:left/>
      <x:top/>
      <x:bottom style="thin">
        <x:color rgb="FF000000"/>
      </x:bottom>
    </x:border>
    <x:border>
      <x:right style="thin">
        <x:color rgb="FF000000"/>
      </x:right>
      <x:top/>
      <x:bottom style="thin">
        <x:color rgb="FF000000"/>
      </x:bottom>
    </x:border>
    <x:border>
      <x:left style="thin">
        <x:color rgb="FF000000"/>
      </x:left>
      <x:top/>
    </x:border>
    <x:border>
      <x:top/>
    </x:border>
    <x:border>
      <x:right style="thin">
        <x:color rgb="FF000000"/>
      </x:right>
      <x:top/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</x:borders>
  <x:cellStyleXfs count="47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6" fillId="2" borderId="5" applyNumberFormat="1" applyFill="0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6" fillId="2" borderId="7" applyNumberFormat="1" applyFill="0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6" fillId="2" borderId="13" applyNumberFormat="1" applyFill="0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3" fontId="8" fillId="2" borderId="7" applyNumberFormat="1" applyFill="0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0" fontId="7" fillId="0" borderId="22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165" fontId="3" fillId="0" borderId="20" applyNumberFormat="1" applyFill="1" applyBorder="1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9" fillId="2" borderId="2" applyNumberFormat="1" applyFill="0" applyBorder="1" applyAlignment="1" applyProtection="1">
      <x:protection locked="1" hidden="0"/>
    </x:xf>
    <x:xf numFmtId="0" fontId="9" fillId="2" borderId="5" applyNumberFormat="1" applyFill="0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71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71" fontId="6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170" fontId="2" fillId="0" borderId="0" applyNumberFormat="1" applyFill="1" applyBorder="0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05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/>
    <x:xf numFmtId="0" fontId="2" fillId="0" borderId="1" xfId="0" applyFont="1" applyBorder="1" applyAlignment="1">
      <x:alignment readingOrder="0"/>
    </x:xf>
    <x:xf numFmtId="0" fontId="2" fillId="0" borderId="1" xfId="0" applyFont="1" applyBorder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 readingOrder="0"/>
    </x:xf>
    <x:xf numFmtId="0" fontId="6" fillId="2" borderId="2" xfId="0" applyFont="1" applyFill="1" applyBorder="1" applyAlignment="1">
      <x:alignment horizontal="left"/>
    </x:xf>
    <x:xf numFmtId="0" fontId="7" fillId="0" borderId="3" xfId="0" applyFont="1" applyBorder="1"/>
    <x:xf numFmtId="0" fontId="7" fillId="0" borderId="4" xfId="0" applyFont="1" applyBorder="1"/>
    <x:xf numFmtId="0" fontId="6" fillId="2" borderId="5" xfId="0" applyFont="1" applyBorder="1" applyAlignment="1">
      <x:alignment horizontal="left"/>
    </x:xf>
    <x:xf numFmtId="0" fontId="7" fillId="0" borderId="6" xfId="0" applyFont="1" applyBorder="1"/>
    <x:xf numFmtId="0" fontId="6" fillId="2" borderId="7" xfId="0" applyFont="1" applyBorder="1" applyAlignment="1">
      <x:alignment horizontal="left"/>
    </x:xf>
    <x:xf numFmtId="0" fontId="7" fillId="0" borderId="8" xfId="0" applyFont="1" applyBorder="1"/>
    <x:xf numFmtId="0" fontId="7" fillId="0" borderId="9" xfId="0" applyFont="1" applyBorder="1"/>
    <x:xf numFmtId="0" fontId="7" fillId="0" borderId="10" xfId="0" applyFont="1" applyBorder="1"/>
    <x:xf numFmtId="0" fontId="3" fillId="2" borderId="11" xfId="0" applyFont="1" applyBorder="1" applyAlignment="1">
      <x:alignment horizontal="left"/>
    </x:xf>
    <x:xf numFmtId="0" fontId="6" fillId="2" borderId="12" xfId="0" applyFont="1" applyBorder="1" applyAlignment="1">
      <x:alignment horizontal="left" readingOrder="0"/>
    </x:xf>
    <x:xf numFmtId="0" fontId="7" fillId="0" borderId="13" xfId="0" applyFont="1" applyBorder="1"/>
    <x:xf numFmtId="0" fontId="7" fillId="0" borderId="14" xfId="0" applyFont="1" applyBorder="1"/>
    <x:xf numFmtId="0" fontId="6" fillId="2" borderId="15" xfId="0" applyFont="1" applyBorder="1" applyAlignment="1">
      <x:alignment horizontal="left" readingOrder="0"/>
    </x:xf>
    <x:xf numFmtId="0" fontId="7" fillId="0" borderId="16" xfId="0" applyFont="1" applyBorder="1"/>
    <x:xf numFmtId="3" fontId="8" fillId="2" borderId="17" xfId="0" applyNumberFormat="1" applyFont="1" applyBorder="1" applyAlignment="1">
      <x:alignment horizontal="center" wrapText="1" shrinkToFit="0" readingOrder="0"/>
    </x:xf>
    <x:xf numFmtId="0" fontId="7" fillId="0" borderId="18" xfId="0" applyFont="1" applyBorder="1"/>
    <x:xf numFmtId="0" fontId="7" fillId="0" borderId="19" xfId="0" applyFont="1" applyBorder="1"/>
    <x:xf numFmtId="0" fontId="6" fillId="0" borderId="20" xfId="0" applyFont="1" applyBorder="1" applyAlignment="1">
      <x:alignment horizontal="center"/>
    </x:xf>
    <x:xf numFmtId="0" fontId="7" fillId="0" borderId="21" xfId="0" applyFont="1" applyBorder="1"/>
    <x:xf numFmtId="0" fontId="7" fillId="0" borderId="22" xfId="0" applyFont="1" applyBorder="1"/>
    <x:xf numFmtId="0" fontId="9" fillId="0" borderId="20" xfId="0" applyFont="1" applyBorder="1" applyAlignment="1">
      <x:alignment horizontal="center" vertical="bottom" wrapText="0" shrinkToFit="0" readingOrder="0"/>
    </x:xf>
    <x:xf numFmtId="0" fontId="9" fillId="0" borderId="20" xfId="0" applyFont="1" applyBorder="1" applyAlignment="1">
      <x:alignment horizontal="left" vertical="bottom" wrapText="0" shrinkToFit="0" readingOrder="0"/>
    </x:xf>
    <x:xf numFmtId="165" fontId="3" fillId="0" borderId="20" xfId="0" applyNumberFormat="1" applyFont="1" applyBorder="1" applyAlignment="1">
      <x:alignment horizontal="center"/>
    </x:xf>
    <x:xf numFmtId="0" fontId="3" fillId="0" borderId="20" xfId="0" applyFont="1" applyBorder="1" applyAlignment="1">
      <x:alignment horizontal="center"/>
    </x:xf>
    <x:xf numFmtId="0" fontId="6" fillId="0" borderId="20" xfId="0" applyFont="1" applyBorder="1" applyAlignment="1">
      <x:alignment horizontal="left"/>
    </x:xf>
    <x:xf numFmtId="0" fontId="3" fillId="0" borderId="20" xfId="0" applyFont="1" applyBorder="1" applyAlignment="1">
      <x:alignment horizontal="left"/>
    </x:xf>
    <x:xf numFmtId="0" fontId="9" fillId="2" borderId="23" xfId="0" applyFont="1" applyBorder="1" applyAlignment="1">
      <x:alignment horizontal="center" vertical="bottom" wrapText="0" shrinkToFit="0" readingOrder="0"/>
    </x:xf>
    <x:xf numFmtId="0" fontId="9" fillId="2" borderId="24" xfId="0" applyFont="1" applyBorder="1" applyAlignment="1">
      <x:alignment horizontal="center" vertical="bottom" wrapText="0" shrinkToFit="0" readingOrder="0"/>
    </x:xf>
    <x:xf numFmtId="0" fontId="3" fillId="0" borderId="0" xfId="0" applyFont="1" applyAlignment="1">
      <x:alignment horizontal="center" vertical="center" readingOrder="0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 readingOrder="0"/>
    </x:xf>
    <x:xf numFmtId="0" fontId="3" fillId="0" borderId="0" xfId="0" applyFont="1" applyAlignment="1">
      <x:alignment horizontal="center" vertical="center" readingOrder="0"/>
    </x:xf>
    <x:xf numFmtId="0" fontId="3" fillId="0" borderId="0" xfId="0" applyFont="1" applyAlignment="1">
      <x:alignment horizontal="center" vertical="center" wrapText="1" shrinkToFit="0" readingOrder="0"/>
    </x:xf>
    <x:xf numFmtId="165" fontId="3" fillId="0" borderId="0" xfId="0" applyNumberFormat="1" applyFont="1" applyAlignment="1">
      <x:alignment horizontal="center" vertical="center" wrapText="1" shrinkToFit="0" readingOrder="0"/>
    </x:xf>
    <x:xf numFmtId="166" fontId="3" fillId="0" borderId="0" xfId="0" applyNumberFormat="1" applyFont="1" applyAlignment="1">
      <x:alignment horizontal="center" vertical="center" readingOrder="0"/>
    </x:xf>
    <x:xf numFmtId="164" fontId="3" fillId="0" borderId="0" xfId="0" applyNumberFormat="1" applyFont="1" applyAlignment="1">
      <x:alignment horizontal="center" vertical="center" readingOrder="0"/>
    </x:xf>
    <x:xf numFmtId="164" fontId="3" fillId="0" borderId="0" xfId="0" applyNumberFormat="1" applyFont="1" applyAlignment="1">
      <x:alignment horizontal="center" vertical="center" wrapText="1" shrinkToFit="0" readingOrder="0"/>
    </x:xf>
    <x:xf numFmtId="0" fontId="10" fillId="0" borderId="0" xfId="0" applyFont="1" applyAlignment="1">
      <x:alignment horizontal="center" vertical="center" wrapText="1" shrinkToFit="0" readingOrder="0"/>
    </x:xf>
    <x:xf numFmtId="9" fontId="2" fillId="0" borderId="0" xfId="0" applyNumberFormat="1" applyFont="1" applyAlignment="1">
      <x:alignment readingOrder="0"/>
    </x:xf>
    <x:xf numFmtId="0" fontId="2" fillId="0" borderId="0" xfId="0" applyFont="1" applyAlignment="1">
      <x:alignment vertical="center" readingOrder="0"/>
    </x:xf>
    <x:xf numFmtId="0" fontId="2" fillId="0" borderId="0" xfId="0" applyFont="1" applyAlignment="1">
      <x:alignment vertical="center" readingOrder="0"/>
    </x:xf>
    <x:xf numFmtId="0" fontId="2" fillId="0" borderId="0" xfId="0" applyFont="1" applyAlignment="1">
      <x:alignment vertical="center" wrapText="1" shrinkToFit="0" readingOrder="0"/>
    </x:xf>
    <x:xf numFmtId="0" fontId="2" fillId="0" borderId="0" xfId="0" applyFont="1" applyAlignment="1">
      <x:alignment vertical="center" wrapText="1" shrinkToFit="0" readingOrder="0"/>
    </x:xf>
    <x:xf numFmtId="0" fontId="6" fillId="0" borderId="0" xfId="0" applyFont="1" applyAlignment="1">
      <x:alignment horizontal="center" vertical="center" wrapText="1" shrinkToFit="0" readingOrder="0"/>
    </x:xf>
    <x:xf numFmtId="0" fontId="3" fillId="0" borderId="0" xfId="0" applyFont="1" applyAlignment="1">
      <x:alignment vertical="center" readingOrder="0"/>
    </x:xf>
    <x:xf numFmtId="167" fontId="3" fillId="0" borderId="0" xfId="0" applyNumberFormat="1" applyFont="1" applyAlignment="1">
      <x:alignment horizontal="center" vertical="center" readingOrder="0"/>
    </x:xf>
    <x:xf numFmtId="0" fontId="3" fillId="0" borderId="0" xfId="0" applyFont="1" applyAlignment="1">
      <x:alignment vertical="center" wrapText="1" shrinkToFit="0" readingOrder="0"/>
    </x:xf>
    <x:xf numFmtId="168" fontId="3" fillId="0" borderId="0" xfId="0" applyNumberFormat="1" applyFont="1" applyAlignment="1">
      <x:alignment horizontal="center" vertical="center" wrapText="1" shrinkToFit="0" readingOrder="0"/>
    </x:xf>
    <x:xf numFmtId="0" fontId="3" fillId="0" borderId="0" xfId="0" applyFont="1" applyAlignment="1">
      <x:alignment horizontal="center" readingOrder="0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 shrinkToFit="0" readingOrder="0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 shrinkToFit="0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 shrinkToFit="0" readingOrder="0"/>
    </x:xf>
    <x:xf numFmtId="0" fontId="3" fillId="0" borderId="0" xfId="0" applyFont="1" applyAlignment="1">
      <x:alignment horizontal="center" wrapText="1" shrinkToFit="0" readingOrder="0"/>
    </x:xf>
    <x:xf numFmtId="0" fontId="3" fillId="0" borderId="0" xfId="0" applyFont="1" applyAlignment="1">
      <x:alignment horizontal="center" wrapText="1" shrinkToFit="0"/>
    </x:xf>
    <x:xf numFmtId="0" fontId="3" fillId="0" borderId="0" xfId="0" applyFont="1" applyAlignment="1">
      <x:alignment horizontal="center" readingOrder="0"/>
    </x:xf>
    <x:xf numFmtId="0" fontId="3" fillId="0" borderId="0" xfId="0" applyFont="1" applyAlignment="1">
      <x:alignment horizontal="center" wrapText="1" shrinkToFit="0" readingOrder="0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 shrinkToFit="0" readingOrder="0"/>
    </x:xf>
    <x:xf numFmtId="169" fontId="3" fillId="0" borderId="0" xfId="0" applyNumberFormat="1" applyFont="1" applyAlignment="1">
      <x:alignment horizontal="center" wrapText="1" shrinkToFit="0" readingOrder="0"/>
    </x:xf>
    <x:xf numFmtId="164" fontId="3" fillId="0" borderId="0" xfId="0" applyNumberFormat="1" applyFont="1" applyAlignment="1">
      <x:alignment horizontal="center" wrapText="1" shrinkToFit="0" readingOrder="0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 shrinkToFit="0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>
      <x:alignment horizontal="left" vertical="center" wrapText="0" shrinkToFit="0" readingOrder="0"/>
    </x:xf>
    <x:xf numFmtId="0" fontId="2" fillId="0" borderId="0" xfId="0" applyFont="1" applyAlignment="1">
      <x:alignment vertical="center" wrapText="0" shrinkToFit="0" readingOrder="0"/>
    </x:xf>
    <x:xf numFmtId="0" fontId="2" fillId="0" borderId="0" xfId="0" applyFont="1" applyAlignment="1">
      <x:alignment horizontal="left" vertical="center" wrapText="0" shrinkToFit="0" readingOrder="0"/>
    </x:xf>
    <x:xf numFmtId="0" fontId="2" fillId="0" borderId="0" xfId="0" applyFont="1" applyAlignment="1">
      <x:alignment horizontal="left" vertical="center" wrapText="0" shrinkToFit="0" readingOrder="0"/>
    </x:xf>
    <x:xf numFmtId="170" fontId="2" fillId="0" borderId="0" xfId="0" applyNumberFormat="1" applyFont="1" applyAlignment="1">
      <x:alignment vertical="center" wrapText="0" shrinkToFit="0" readingOrder="0"/>
    </x:xf>
    <x:xf numFmtId="0" fontId="2" fillId="0" borderId="0" xfId="0" applyFont="1" applyAlignment="1">
      <x:alignment vertical="center" wrapText="0" shrinkToFit="0"/>
    </x:xf>
    <x:xf numFmtId="170" fontId="2" fillId="0" borderId="0" xfId="0" applyNumberFormat="1" applyFont="1" applyAlignment="1">
      <x:alignment vertical="center" wrapText="0" shrinkToFit="0" readingOrder="0"/>
    </x:xf>
    <x:xf numFmtId="0" fontId="2" fillId="0" borderId="0" xfId="0" applyFont="1" applyAlignment="1">
      <x:alignment vertical="center" wrapText="0" shrinkToFit="0" readingOrder="0"/>
    </x:xf>
    <x:xf numFmtId="0" fontId="2" fillId="0" borderId="0" xfId="0" quotePrefix="1" applyFont="1" applyAlignment="1">
      <x:alignment vertical="center" wrapText="0" shrinkToFit="0" readingOrder="0"/>
    </x:xf>
    <x:xf numFmtId="0" fontId="2" fillId="0" borderId="0" xfId="0" applyFont="1" applyAlignment="1">
      <x:alignment readingOrder="0"/>
    </x:xf>
    <x:xf numFmtId="0" fontId="11" fillId="3" borderId="0" xfId="0" applyFont="1" applyFill="1" applyAlignment="1">
      <x:alignment horizontal="center" readingOrder="0"/>
    </x:xf>
    <x:xf numFmtId="0" fontId="11" fillId="4" borderId="0" xfId="0" applyFont="1" applyFill="1" applyAlignment="1">
      <x:alignment horizontal="center" readingOrder="0"/>
    </x:xf>
    <x:xf numFmtId="165" fontId="2" fillId="0" borderId="0" xfId="0" applyNumberFormat="1" applyFont="1" applyAlignment="1">
      <x:alignment readingOrder="0"/>
    </x:xf>
    <x:xf numFmtId="0" fontId="6" fillId="2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9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1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1" fontId="6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color theme="1"/>
        <x:name val="Arial"/>
        <x:scheme val="minor"/>
      </x:font>
    </x:dxf>
    <x:dxf>
      <x:font>
        <x:color theme="1"/>
        <x:name val="Arial"/>
        <x:scheme val="minor"/>
      </x:font>
      <x:numFmt numFmtId="164" formatCode="m/d/yyyy h:mm:ss"/>
    </x:dxf>
  </x:dxfs>
  <x:tableStyles count="3">
    <x:tableStyle name="info-style" pivot="0" count="4">
      <x:tableStyleElement type="headerRow" dxfId="1"/>
      <x:tableStyleElement type="firstRowStripe" dxfId="2"/>
      <x:tableStyleElement type="secondRowStripe" dxfId="3"/>
      <x:tableStyleElement type="wholeTable" size="0" dxfId="4"/>
    </x:tableStyle>
    <x:tableStyle name="forms_productos-style" pivot="0" count="4">
      <x:tableStyleElement type="headerRow" dxfId="1"/>
      <x:tableStyleElement type="firstRowStripe" dxfId="2"/>
      <x:tableStyleElement type="secondRowStripe" dxfId="3"/>
      <x:tableStyleElement type="wholeTable" size="0" dxfId="4"/>
    </x:tableStyle>
    <x:tableStyle name="forms-style" pivot="0" count="4">
      <x:tableStyleElement type="headerRow" dxfId="1"/>
      <x:tableStyleElement type="firstRowStripe" dxfId="2"/>
      <x:tableStyleElement type="secondRowStripe" dxfId="3"/>
      <x:tableStyleElement type="wholeTable" size="0" dxfId="4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schemas.openxmlformats.org/officeDocument/2006/relationships/worksheet" Target="worksheets/sheet2.xml" Id="rId5" /><Relationship Type="http://schemas.openxmlformats.org/officeDocument/2006/relationships/worksheet" Target="worksheets/sheet3.xml" Id="rId6" /><Relationship Type="http://schemas.openxmlformats.org/officeDocument/2006/relationships/worksheet" Target="worksheets/sheet4.xml" Id="rId7" /><Relationship Type="http://schemas.openxmlformats.org/officeDocument/2006/relationships/worksheet" Target="worksheets/sheet5.xml" Id="rId8" /><Relationship Type="http://schemas.openxmlformats.org/officeDocument/2006/relationships/calcChain" Target="/xl/calcChain.xml" Id="rId10" 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0</xdr:rowOff>
    </xdr:from>
    <xdr:ext cx="4010025" cy="2295525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010025" cy="2295525"/>
        </a:xfrm>
        <a:prstGeom prst="rect"/>
      </xdr:spPr>
    </xdr:pic>
    <xdr:clientData/>
  </xdr:oneCellAnchor>
</xdr:wsDr>
</file>

<file path=xl/tables/table1.xml><?xml version="1.0" encoding="utf-8"?>
<x:table xmlns:x="http://schemas.openxmlformats.org/spreadsheetml/2006/main" id="1" name="Tabla_1" displayName="Tabla_1" ref="B1:G13" totalsRowShown="0">
  <x:tableColumns count="6">
    <x:tableColumn id="1" name="Número de Orden " dataDxfId="0"/>
    <x:tableColumn id="2" name="Proveedor" dataDxfId="0"/>
    <x:tableColumn id="3" name="NIT/CC" dataDxfId="0"/>
    <x:tableColumn id="4" name="Ciudad" dataDxfId="0"/>
    <x:tableColumn id="5" name="Dirección" dataDxfId="0"/>
    <x:tableColumn id="6" name="  Comprador  " dataDxfId="0"/>
  </x:tableColumns>
  <x:tableStyleInfo name="info-style" showFirstColumn="1" showLastColumn="1" showRowStripes="1" showColumnStripes="0"/>
</x:table>
</file>

<file path=xl/tables/table2.xml><?xml version="1.0" encoding="utf-8"?>
<x:table xmlns:x="http://schemas.openxmlformats.org/spreadsheetml/2006/main" id="2" name="Form_Responses2" displayName="Form_Responses2" ref="A1:O8" totalsRowShown="0">
  <x:tableColumns count="15">
    <x:tableColumn id="1" name="Marca temporal" dataDxfId="1"/>
    <x:tableColumn id="2" name="Número de orden "/>
    <x:tableColumn id="3" name="Item"/>
    <x:tableColumn id="4" name="Catálogo"/>
    <x:tableColumn id="5" name="Modelo "/>
    <x:tableColumn id="6" name="Descripción "/>
    <x:tableColumn id="7" name="Fecha de entrega "/>
    <x:tableColumn id="8" name="  ¿IVA?  "/>
    <x:tableColumn id="9" name="  Cantidad  "/>
    <x:tableColumn id="10" name="  Unidad de medida (UM)  "/>
    <x:tableColumn id="11" name="  Precio unitario  "/>
    <x:tableColumn id="12" name="%descuento"/>
    <x:tableColumn id="13" name="Valor total"/>
    <x:tableColumn id="14" name="  ¿Este es el último producto de la orden? " dataDxfId="0"/>
    <x:tableColumn id="15" name="Proveedor" dataDxfId="0"/>
  </x:tableColumns>
  <x:tableStyleInfo name="forms_productos-style" showFirstColumn="1" showLastColumn="1" showRowStripes="1" showColumnStripes="0"/>
</x:table>
</file>

<file path=xl/tables/table3.xml><?xml version="1.0" encoding="utf-8"?>
<x:table xmlns:x="http://schemas.openxmlformats.org/spreadsheetml/2006/main" id="3" name="Form_Responses1" displayName="Form_Responses1" ref="A1:M8" totalsRowShown="0">
  <x:tableColumns count="13">
    <x:tableColumn id="1" name="Marca temporal" dataDxfId="1"/>
    <x:tableColumn id="2" name="Número de Orden "/>
    <x:tableColumn id="3" name="Contacto"/>
    <x:tableColumn id="4" name="Correo Contacto"/>
    <x:tableColumn id="5" name="Fecha de Orden (D/M/A)"/>
    <x:tableColumn id="6" name="Moneda"/>
    <x:tableColumn id="7" name="  Comprador  "/>
    <x:tableColumn id="8" name="Entregar a (Principal)"/>
    <x:tableColumn id="9" name="Entregar a (Alterno)"/>
    <x:tableColumn id="10" name="Condiciones de Pago"/>
    <x:tableColumn id="11" name="Observaciones"/>
    <x:tableColumn id="12" name="Descuento"/>
    <x:tableColumn id="13" name="proveedor" dataDxfId="0"/>
  </x:tableColumns>
  <x:tableStyleInfo name="forms-style" showFirstColumn="1" showLastColumn="1" showRowStripes="1" showColumnStripes="0"/>
</x: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../tables/table1.xml" Id="rI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../tables/table2.xml" Id="rI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../tables/table3.xml" Id="rId3" /></Relationships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 fitToPage="1"/>
  </x:sheetPr>
  <x:dimension ref="A1:O47"/>
  <x:sheetViews>
    <x:sheetView workbookViewId="0"/>
  </x:sheetViews>
  <x:sheetFormatPr defaultColWidth="12.567768" defaultRowHeight="15" customHeight="1"/>
  <x:cols>
    <x:col min="1" max="1" width="2.75" style="0" customWidth="1"/>
    <x:col min="2" max="3" width="5" style="0" customWidth="1"/>
    <x:col min="4" max="4" width="13.63" style="0" customWidth="1"/>
    <x:col min="5" max="5" width="32.75" style="0" customWidth="1"/>
    <x:col min="6" max="6" width="18" style="0" customWidth="1"/>
    <x:col min="7" max="7" width="25.5" style="0" customWidth="1"/>
    <x:col min="8" max="8" width="19" style="0" customWidth="1"/>
    <x:col min="9" max="9" width="5.63" style="0" customWidth="1"/>
    <x:col min="10" max="10" width="9.63" style="0" customWidth="1"/>
    <x:col min="11" max="11" width="6.75" style="0" customWidth="1"/>
    <x:col min="12" max="12" width="14.88" style="0" customWidth="1"/>
    <x:col min="13" max="13" width="18" style="0" customWidth="1"/>
    <x:col min="14" max="14" width="18.88" style="0" customWidth="1"/>
    <x:col min="15" max="26" width="10.63" style="0" customWidth="1"/>
  </x:cols>
  <x:sheetData>
    <x:row r="1" spans="1:26" ht="4.5" customHeight="1">
      <x:c r="M1" s="1"/>
    </x:row>
    <x:row r="2" spans="1:26" ht="12.75" customHeight="1">
      <x:c r="L2" s="2" t="s">
        <x:v>0</x:v>
      </x:c>
    </x:row>
    <x:row r="3" spans="1:26" ht="12.75" customHeight="1">
      <x:c r="L3" s="2"/>
    </x:row>
    <x:row r="4" spans="1:26" ht="12.75" customHeight="1"/>
    <x:row r="5" spans="1:26" ht="12.75" customHeight="1">
      <x:c r="L5" s="4"/>
    </x:row>
    <x:row r="6" spans="1:26" ht="12.75" customHeight="1">
      <x:c r="I6" s="5">
        <x:f>"ORDEN DE COMPRA No: "</x:f>
      </x:c>
      <x:c r="J6" s="5"/>
      <x:c r="K6" s="5"/>
      <x:c r="L6" s="5"/>
      <x:c r="M6" s="6">
        <x:f>Instancia!B2</x:f>
      </x:c>
    </x:row>
    <x:row r="7" spans="1:26" ht="6.75" customHeight="1"/>
    <x:row r="8" spans="1:26" ht="12.75" customHeight="1">
      <x:c r="B8" s="91">
        <x:f>"Proveedor: " &amp; Instancia!L2</x:f>
      </x:c>
      <x:c r="C8" s="8"/>
      <x:c r="D8" s="8"/>
      <x:c r="E8" s="8"/>
      <x:c r="F8" s="8"/>
      <x:c r="G8" s="8"/>
      <x:c r="H8" s="92"/>
      <x:c r="J8" s="91" t="s">
        <x:v>1</x:v>
      </x:c>
      <x:c r="K8" s="8"/>
      <x:c r="L8" s="8"/>
      <x:c r="M8" s="8"/>
      <x:c r="N8" s="93"/>
    </x:row>
    <x:row r="9" spans="1:26" ht="12.75" customHeight="1">
      <x:c r="B9" s="94">
        <x:f>"NIT/CC: " &amp; Instancia!M2</x:f>
      </x:c>
      <x:c r="H9" s="14"/>
      <x:c r="J9" s="94" t="s">
        <x:v>2</x:v>
      </x:c>
      <x:c r="N9" s="14"/>
    </x:row>
    <x:row r="10" spans="1:26" ht="12.75" customHeight="1">
      <x:c r="B10" s="94">
        <x:f>"Ciudad: " &amp; Instancia!N2              </x:f>
      </x:c>
      <x:c r="H10" s="14"/>
      <x:c r="J10" s="94" t="s">
        <x:v>3</x:v>
      </x:c>
      <x:c r="N10" s="14"/>
    </x:row>
    <x:row r="11" spans="1:26" ht="12.75" customHeight="1">
      <x:c r="B11" s="94">
        <x:f>"Dirección: " &amp; Instancia!O2           </x:f>
      </x:c>
      <x:c r="H11" s="14"/>
      <x:c r="J11" s="94" t="s">
        <x:v>4</x:v>
      </x:c>
      <x:c r="N11" s="14"/>
    </x:row>
    <x:row r="12" spans="1:26" ht="12.75" customHeight="1" hidden="1">
      <x:c r="B12" s="94" t="s">
        <x:v>5</x:v>
      </x:c>
      <x:c r="H12" s="14"/>
      <x:c r="J12" s="94" t="s">
        <x:v>6</x:v>
      </x:c>
      <x:c r="M12" s="95" t="s">
        <x:v>7</x:v>
      </x:c>
      <x:c r="N12" s="14"/>
    </x:row>
    <x:row r="13" spans="1:26" ht="22.5" customHeight="1">
      <x:c r="B13" s="96">
        <x:f>"Contacto: " &amp; Instancia!C2  </x:f>
      </x:c>
      <x:c r="C13" s="18"/>
      <x:c r="D13" s="18"/>
      <x:c r="E13" s="18"/>
      <x:c r="F13" s="97"/>
      <x:c r="G13" s="18"/>
      <x:c r="H13" s="21"/>
      <x:c r="J13" s="98" t="s">
        <x:v>8</x:v>
      </x:c>
      <x:c r="N13" s="14"/>
    </x:row>
    <x:row r="14" spans="1:26" ht="12.75" customHeight="1">
      <x:c r="B14" s="25" t="s">
        <x:v>9</x:v>
      </x:c>
      <x:c r="C14" s="26"/>
      <x:c r="D14" s="27"/>
      <x:c r="E14" s="28" t="s">
        <x:v>10</x:v>
      </x:c>
      <x:c r="F14" s="27"/>
      <x:c r="G14" s="28" t="s">
        <x:v>11</x:v>
      </x:c>
      <x:c r="H14" s="26"/>
      <x:c r="I14" s="27"/>
      <x:c r="J14" s="29">
        <x:f>"Entregar a Alterno: " &amp; Instancia!H2</x:f>
      </x:c>
      <x:c r="K14" s="26"/>
      <x:c r="L14" s="26"/>
      <x:c r="M14" s="26"/>
      <x:c r="N14" s="27"/>
    </x:row>
    <x:row r="15" spans="1:26" ht="12.75" customHeight="1">
      <x:c r="B15" s="30">
        <x:f>Instancia!E2</x:f>
      </x:c>
      <x:c r="C15" s="26"/>
      <x:c r="D15" s="27"/>
      <x:c r="E15" s="31">
        <x:f>Instancia!F2</x:f>
      </x:c>
      <x:c r="F15" s="27"/>
      <x:c r="G15" s="31">
        <x:f>Instancia!P2</x:f>
      </x:c>
      <x:c r="H15" s="26"/>
      <x:c r="I15" s="27"/>
      <x:c r="J15" s="32">
        <x:f>"Entregar a: " &amp; Instancia!G2</x:f>
      </x:c>
      <x:c r="K15" s="26"/>
      <x:c r="L15" s="26"/>
      <x:c r="M15" s="26"/>
      <x:c r="N15" s="27"/>
    </x:row>
    <x:row r="16" spans="1:26" ht="12.75" customHeight="1">
      <x:c r="B16" s="33">
        <x:f>"Condiciones de pago: " &amp; Instancia!I2                                       </x:f>
      </x:c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7"/>
    </x:row>
    <x:row r="17" spans="1:26" ht="22.5" customHeight="1"/>
    <x:row r="18" spans="1:26" ht="24.75" customHeight="1">
      <x:c r="B18" s="99" t="s">
        <x:v>12</x:v>
      </x:c>
      <x:c r="C18" s="100"/>
      <x:c r="D18" s="100" t="s">
        <x:v>13</x:v>
      </x:c>
      <x:c r="E18" s="100" t="s">
        <x:v>14</x:v>
      </x:c>
      <x:c r="F18" s="100" t="s">
        <x:v>15</x:v>
      </x:c>
      <x:c r="G18" s="100" t="s">
        <x:v>16</x:v>
      </x:c>
      <x:c r="H18" s="100" t="s">
        <x:v>17</x:v>
      </x:c>
      <x:c r="I18" s="100" t="s">
        <x:v>18</x:v>
      </x:c>
      <x:c r="J18" s="100" t="s">
        <x:v>19</x:v>
      </x:c>
      <x:c r="K18" s="100" t="s">
        <x:v>20</x:v>
      </x:c>
      <x:c r="L18" s="100" t="s">
        <x:v>21</x:v>
      </x:c>
      <x:c r="M18" s="100" t="s">
        <x:v>22</x:v>
      </x:c>
      <x:c r="N18" s="100" t="s">
        <x:v>23</x:v>
      </x:c>
    </x:row>
    <x:row r="19" spans="1:26" ht="112.5" customHeight="1">
      <x:c r="B19" s="36">
        <x:v>1</x:v>
      </x:c>
      <x:c r="C19" s="36"/>
      <x:c r="D19" s="38" t="s">
        <x:v>115</x:v>
      </x:c>
      <x:c r="E19" s="36" t="s">
        <x:v>115</x:v>
      </x:c>
      <x:c r="F19" s="36" t="s">
        <x:v>115</x:v>
      </x:c>
      <x:c r="G19" s="40" t="s">
        <x:v>116</x:v>
      </x:c>
      <x:c r="H19" s="41" t="s">
        <x:v>115</x:v>
      </x:c>
      <x:c r="I19" s="36">
        <x:v>0</x:v>
      </x:c>
      <x:c r="J19" s="36">
        <x:v>1</x:v>
      </x:c>
      <x:c r="K19" s="36" t="s">
        <x:v>117</x:v>
      </x:c>
      <x:c r="L19" s="101">
        <x:v>3435</x:v>
      </x:c>
      <x:c r="M19" s="36">
        <x:v>0</x:v>
      </x:c>
      <x:c r="N19" s="101">
        <x:f>J19*L19*(1-(M19/100))</x:f>
      </x:c>
    </x:row>
    <x:row r="20" spans="1:26" ht="112.5" customHeight="1">
      <x:c r="B20" s="36"/>
      <x:c r="C20" s="36"/>
      <x:c r="D20" s="36"/>
      <x:c r="E20" s="40"/>
      <x:c r="F20" s="36"/>
      <x:c r="G20" s="40"/>
      <x:c r="H20" s="40"/>
      <x:c r="I20" s="36"/>
      <x:c r="J20" s="36"/>
      <x:c r="K20" s="36"/>
      <x:c r="L20" s="42"/>
      <x:c r="M20" s="51" t="s">
        <x:v>118</x:v>
      </x:c>
      <x:c r="N20" s="102">
        <x:f>SUM(N19:N19)</x:f>
      </x:c>
    </x:row>
    <x:row r="21" spans="1:26" ht="112.5" customHeight="1">
      <x:c r="B21" s="36"/>
      <x:c r="C21" s="36"/>
      <x:c r="D21" s="36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</x:row>
    <x:row r="22" spans="1:26" ht="112.5" customHeight="1">
      <x:c r="B22" s="36"/>
      <x:c r="C22" s="36"/>
      <x:c r="D22" s="36"/>
      <x:c r="E22" s="40"/>
      <x:c r="F22" s="36"/>
      <x:c r="G22" s="36"/>
      <x:c r="H22" s="36"/>
      <x:c r="I22" s="36"/>
      <x:c r="J22" s="36"/>
      <x:c r="K22" s="36"/>
      <x:c r="L22" s="36"/>
      <x:c r="M22" s="40"/>
      <x:c r="N22" s="40"/>
    </x:row>
    <x:row r="23" spans="1:26" ht="112.5" customHeight="1">
      <x:c r="B23" s="36"/>
      <x:c r="C23" s="36"/>
      <x:c r="D23" s="36"/>
      <x:c r="E23" s="40"/>
      <x:c r="F23" s="36"/>
      <x:c r="G23" s="40"/>
      <x:c r="H23" s="40"/>
      <x:c r="I23" s="36"/>
      <x:c r="J23" s="36"/>
      <x:c r="K23" s="36"/>
      <x:c r="L23" s="42"/>
      <x:c r="M23" s="40"/>
      <x:c r="N23" s="44"/>
      <x:c r="O23" s="46"/>
    </x:row>
    <x:row r="24" spans="1:26" ht="112.5" customHeight="1">
      <x:c r="B24" s="36"/>
      <x:c r="C24" s="36"/>
      <x:c r="D24" s="36"/>
      <x:c r="E24" s="40"/>
      <x:c r="F24" s="47"/>
      <x:c r="G24" s="47"/>
      <x:c r="H24" s="47"/>
      <x:c r="I24" s="47"/>
      <x:c r="J24" s="47"/>
      <x:c r="K24" s="47"/>
      <x:c r="L24" s="47"/>
      <x:c r="M24" s="49"/>
      <x:c r="N24" s="49"/>
    </x:row>
    <x:row r="25" spans="1:26" ht="112.5" customHeight="1">
      <x:c r="B25" s="36"/>
      <x:c r="C25" s="36"/>
      <x:c r="D25" s="36"/>
      <x:c r="E25" s="40"/>
      <x:c r="F25" s="36"/>
      <x:c r="G25" s="51"/>
      <x:c r="H25" s="40"/>
      <x:c r="I25" s="36"/>
      <x:c r="J25" s="36"/>
      <x:c r="K25" s="52"/>
      <x:c r="L25" s="53"/>
      <x:c r="M25" s="54"/>
      <x:c r="N25" s="55"/>
    </x:row>
    <x:row r="26" spans="1:26" ht="112.5" customHeight="1">
      <x:c r="B26" s="56"/>
      <x:c r="C26" s="56"/>
      <x:c r="D26" s="36"/>
      <x:c r="E26" s="40"/>
      <x:c r="F26" s="36"/>
      <x:c r="G26" s="40"/>
      <x:c r="H26" s="40"/>
      <x:c r="I26" s="36"/>
      <x:c r="J26" s="36"/>
      <x:c r="K26" s="52"/>
      <x:c r="L26" s="53"/>
      <x:c r="M26" s="54"/>
      <x:c r="N26" s="58"/>
    </x:row>
    <x:row r="27" spans="1:26" ht="112.5" customHeight="1">
      <x:c r="B27" s="56"/>
      <x:c r="C27" s="56"/>
      <x:c r="D27" s="36"/>
      <x:c r="E27" s="40"/>
      <x:c r="F27" s="36"/>
      <x:c r="G27" s="40"/>
      <x:c r="H27" s="40"/>
      <x:c r="I27" s="36"/>
      <x:c r="J27" s="36"/>
      <x:c r="K27" s="52"/>
      <x:c r="L27" s="53"/>
      <x:c r="M27" s="54"/>
      <x:c r="N27" s="58"/>
    </x:row>
    <x:row r="28" spans="1:26" ht="112.5" customHeight="1" hidden="1">
      <x:c r="B28" s="56"/>
      <x:c r="C28" s="56"/>
      <x:c r="D28" s="36"/>
      <x:c r="E28" s="40"/>
      <x:c r="F28" s="36"/>
      <x:c r="G28" s="40"/>
      <x:c r="H28" s="40"/>
      <x:c r="I28" s="36"/>
      <x:c r="J28" s="36"/>
      <x:c r="K28" s="52"/>
      <x:c r="L28" s="62"/>
      <x:c r="M28" s="54"/>
      <x:c r="N28" s="63"/>
    </x:row>
    <x:row r="29" spans="1:26" ht="112.5" customHeight="1" hidden="1">
      <x:c r="B29" s="56"/>
      <x:c r="C29" s="56"/>
      <x:c r="K29" s="52"/>
      <x:c r="M29" s="54"/>
    </x:row>
    <x:row r="30" spans="1:26" ht="112.5" customHeight="1">
      <x:c r="B30" s="56"/>
      <x:c r="C30" s="56"/>
      <x:c r="D30" s="36"/>
      <x:c r="E30" s="40"/>
      <x:c r="F30" s="36"/>
      <x:c r="G30" s="40"/>
      <x:c r="H30" s="40"/>
      <x:c r="I30" s="36"/>
      <x:c r="J30" s="36"/>
      <x:c r="K30" s="52"/>
      <x:c r="L30" s="53"/>
      <x:c r="M30" s="54"/>
      <x:c r="N30" s="63"/>
    </x:row>
    <x:row r="31" spans="1:26" ht="112.5" customHeight="1">
      <x:c r="B31" s="56"/>
      <x:c r="C31" s="56"/>
      <x:c r="D31" s="36"/>
      <x:c r="E31" s="40"/>
      <x:c r="F31" s="36"/>
      <x:c r="G31" s="40"/>
      <x:c r="H31" s="40"/>
      <x:c r="I31" s="36"/>
      <x:c r="J31" s="36"/>
      <x:c r="K31" s="52"/>
      <x:c r="L31" s="53"/>
      <x:c r="M31" s="54"/>
      <x:c r="N31" s="63"/>
    </x:row>
    <x:row r="32" spans="1:26" ht="112.5" customHeight="1">
      <x:c r="B32" s="56"/>
      <x:c r="C32" s="56"/>
      <x:c r="D32" s="36"/>
      <x:c r="E32" s="40"/>
      <x:c r="F32" s="36"/>
      <x:c r="G32" s="40"/>
      <x:c r="H32" s="40"/>
      <x:c r="I32" s="36"/>
      <x:c r="J32" s="36"/>
      <x:c r="K32" s="52"/>
      <x:c r="L32" s="62"/>
      <x:c r="M32" s="54"/>
      <x:c r="N32" s="63"/>
    </x:row>
    <x:row r="33" spans="1:26" ht="112.5" customHeight="1">
      <x:c r="B33" s="64"/>
      <x:c r="C33" s="64"/>
      <x:c r="D33" s="36"/>
      <x:c r="E33" s="40"/>
      <x:c r="F33" s="36"/>
      <x:c r="G33" s="40"/>
      <x:c r="H33" s="40"/>
      <x:c r="I33" s="36"/>
      <x:c r="J33" s="36"/>
      <x:c r="K33" s="52"/>
      <x:c r="L33" s="62"/>
      <x:c r="M33" s="54"/>
      <x:c r="N33" s="63"/>
    </x:row>
    <x:row r="34" spans="1:26" ht="112.5" customHeight="1">
      <x:c r="B34" s="56"/>
      <x:c r="C34" s="56"/>
      <x:c r="D34" s="36"/>
      <x:c r="E34" s="40"/>
      <x:c r="F34" s="36"/>
      <x:c r="G34" s="40"/>
      <x:c r="H34" s="40"/>
      <x:c r="I34" s="36"/>
      <x:c r="J34" s="36"/>
      <x:c r="K34" s="52"/>
      <x:c r="L34" s="62"/>
      <x:c r="M34" s="54"/>
      <x:c r="N34" s="63"/>
    </x:row>
    <x:row r="35" spans="1:26" ht="112.5" customHeight="1">
      <x:c r="B35" s="64"/>
      <x:c r="C35" s="64"/>
      <x:c r="D35" s="36"/>
      <x:c r="E35" s="36"/>
      <x:c r="F35" s="36"/>
      <x:c r="G35" s="40"/>
      <x:c r="H35" s="40"/>
      <x:c r="I35" s="36"/>
      <x:c r="J35" s="36"/>
      <x:c r="K35" s="52"/>
      <x:c r="L35" s="62"/>
      <x:c r="M35" s="54"/>
      <x:c r="N35" s="63"/>
    </x:row>
    <x:row r="36" spans="1:26" ht="112.5" customHeight="1">
      <x:c r="B36" s="56"/>
      <x:c r="C36" s="56"/>
      <x:c r="D36" s="36"/>
      <x:c r="E36" s="40"/>
      <x:c r="F36" s="36"/>
      <x:c r="G36" s="40"/>
      <x:c r="H36" s="40"/>
      <x:c r="I36" s="36"/>
      <x:c r="J36" s="36"/>
      <x:c r="K36" s="52"/>
      <x:c r="L36" s="62"/>
      <x:c r="M36" s="54"/>
      <x:c r="N36" s="63"/>
    </x:row>
    <x:row r="37" spans="1:26" ht="112.5" customHeight="1">
      <x:c r="B37" s="56"/>
      <x:c r="C37" s="56"/>
      <x:c r="D37" s="56"/>
      <x:c r="E37" s="64"/>
      <x:c r="F37" s="56"/>
      <x:c r="G37" s="64"/>
      <x:c r="H37" s="64"/>
      <x:c r="I37" s="56"/>
      <x:c r="J37" s="56"/>
      <x:c r="K37" s="68"/>
      <x:c r="L37" s="69"/>
      <x:c r="M37" s="70"/>
      <x:c r="N37" s="71"/>
    </x:row>
    <x:row r="38" spans="1:26" ht="112.5" customHeight="1">
      <x:c r="B38" s="56"/>
      <x:c r="C38" s="56"/>
      <x:c r="D38" s="56"/>
      <x:c r="E38" s="56"/>
      <x:c r="F38" s="56"/>
      <x:c r="G38" s="64"/>
      <x:c r="H38" s="64"/>
      <x:c r="I38" s="56"/>
      <x:c r="J38" s="56"/>
      <x:c r="K38" s="68"/>
      <x:c r="L38" s="69"/>
      <x:c r="M38" s="70"/>
      <x:c r="N38" s="71"/>
    </x:row>
    <x:row r="39" spans="1:26" ht="112.5" customHeight="1">
      <x:c r="B39" s="56"/>
      <x:c r="C39" s="56"/>
      <x:c r="D39" s="56"/>
      <x:c r="E39" s="56"/>
      <x:c r="F39" s="56"/>
      <x:c r="G39" s="64"/>
      <x:c r="H39" s="64"/>
      <x:c r="I39" s="56"/>
      <x:c r="J39" s="56"/>
      <x:c r="K39" s="68"/>
      <x:c r="L39" s="69"/>
      <x:c r="M39" s="70"/>
      <x:c r="N39" s="72"/>
    </x:row>
    <x:row r="40" spans="1:26" ht="112.5" customHeight="1">
      <x:c r="B40" s="56"/>
      <x:c r="C40" s="56"/>
      <x:c r="D40" s="56"/>
      <x:c r="E40" s="56"/>
      <x:c r="F40" s="56"/>
      <x:c r="G40" s="64"/>
      <x:c r="H40" s="64"/>
      <x:c r="I40" s="56"/>
      <x:c r="J40" s="56"/>
      <x:c r="K40" s="68"/>
      <x:c r="L40" s="69"/>
      <x:c r="M40" s="68"/>
      <x:c r="N40" s="73"/>
    </x:row>
    <x:row r="41" spans="1:26" ht="112.5" customHeight="1">
      <x:c r="B41" s="56"/>
      <x:c r="C41" s="56"/>
      <x:c r="D41" s="56"/>
      <x:c r="E41" s="56"/>
      <x:c r="F41" s="56"/>
      <x:c r="G41" s="64"/>
      <x:c r="H41" s="64"/>
      <x:c r="I41" s="56"/>
      <x:c r="J41" s="56"/>
      <x:c r="K41" s="68"/>
      <x:c r="L41" s="69"/>
      <x:c r="M41" s="68"/>
      <x:c r="N41" s="73"/>
    </x:row>
    <x:row r="42" spans="1:26" ht="112.5" customHeight="1">
      <x:c r="B42" s="68"/>
      <x:c r="C42" s="68"/>
      <x:c r="D42" s="68"/>
      <x:c r="E42" s="68"/>
      <x:c r="F42" s="68"/>
      <x:c r="G42" s="68"/>
      <x:c r="H42" s="68"/>
      <x:c r="I42" s="68"/>
      <x:c r="J42" s="68"/>
      <x:c r="K42" s="68"/>
      <x:c r="L42" s="68"/>
      <x:c r="M42" s="68"/>
      <x:c r="N42" s="68"/>
    </x:row>
    <x:row r="43" spans="1:26" ht="112.5" customHeight="1">
      <x:c r="B43" s="74"/>
      <x:c r="C43" s="74"/>
      <x:c r="D43" s="74"/>
      <x:c r="E43" s="74"/>
      <x:c r="F43" s="74"/>
      <x:c r="G43" s="74"/>
      <x:c r="H43" s="68"/>
      <x:c r="I43" s="68"/>
      <x:c r="J43" s="68"/>
      <x:c r="K43" s="68"/>
      <x:c r="L43" s="75"/>
      <x:c r="M43" s="75"/>
      <x:c r="N43" s="76"/>
    </x:row>
    <x:row r="44" spans="1:26" ht="112.5" customHeight="1">
      <x:c r="B44" s="74"/>
      <x:c r="C44" s="74"/>
      <x:c r="D44" s="74"/>
      <x:c r="E44" s="74"/>
      <x:c r="F44" s="74"/>
      <x:c r="G44" s="74"/>
      <x:c r="H44" s="68"/>
      <x:c r="K44" s="68"/>
      <x:c r="L44" s="75"/>
      <x:c r="M44" s="75"/>
      <x:c r="N44" s="77"/>
    </x:row>
    <x:row r="45" spans="1:26" ht="112.5" customHeight="1">
      <x:c r="B45" s="74"/>
      <x:c r="C45" s="74"/>
      <x:c r="D45" s="74"/>
      <x:c r="E45" s="74"/>
      <x:c r="F45" s="74"/>
      <x:c r="G45" s="74"/>
      <x:c r="H45" s="68"/>
      <x:c r="I45" s="68"/>
      <x:c r="J45" s="68"/>
      <x:c r="K45" s="68"/>
      <x:c r="L45" s="75"/>
      <x:c r="M45" s="75"/>
      <x:c r="N45" s="77"/>
    </x:row>
    <x:row r="46" spans="1:26" ht="112.5" customHeight="1"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5"/>
      <x:c r="M46" s="75"/>
      <x:c r="N46" s="76"/>
    </x:row>
    <x:row r="47" spans="1:26" ht="112.5" customHeight="1"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5"/>
      <x:c r="M47" s="75"/>
      <x:c r="N47" s="75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2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" right="0" top="0" bottom="0" header="0" footer="0"/>
  <x:pageSetup paperSize="9" pageOrder="downThenOver" orientation="landscape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G13"/>
  <x:sheetViews>
    <x:sheetView workbookViewId="0"/>
  </x:sheetViews>
  <x:sheetFormatPr defaultColWidth="12.567768" defaultRowHeight="15" customHeight="1"/>
  <x:cols>
    <x:col min="1" max="1" width="12.567768" style="0" customWidth="1"/>
    <x:col min="2" max="2" width="16.88" style="0" customWidth="1"/>
    <x:col min="3" max="3" width="21" style="0" customWidth="1"/>
    <x:col min="4" max="4" width="12.567768" style="0" customWidth="1"/>
    <x:col min="5" max="5" width="16" style="0" customWidth="1"/>
    <x:col min="6" max="6" width="19.5" style="0" customWidth="1"/>
    <x:col min="7" max="7" width="14.63" style="0" customWidth="1"/>
  </x:cols>
  <x:sheetData>
    <x:row r="1" spans="1:7" ht="22.5" customHeight="1">
      <x:c r="B1" s="78" t="s">
        <x:v>24</x:v>
      </x:c>
      <x:c r="C1" s="78" t="s">
        <x:v>25</x:v>
      </x:c>
      <x:c r="D1" s="78" t="s">
        <x:v>26</x:v>
      </x:c>
      <x:c r="E1" s="78" t="s">
        <x:v>27</x:v>
      </x:c>
      <x:c r="F1" s="78" t="s">
        <x:v>28</x:v>
      </x:c>
      <x:c r="G1" s="78" t="s">
        <x:v>29</x:v>
      </x:c>
    </x:row>
    <x:row r="2" spans="1:7" ht="22.5" customHeight="1">
      <x:c r="B2" s="47">
        <x:v>2</x:v>
      </x:c>
      <x:c r="C2" s="47" t="s">
        <x:v>30</x:v>
      </x:c>
      <x:c r="D2" s="47" t="s">
        <x:v>31</x:v>
      </x:c>
      <x:c r="E2" s="47" t="s">
        <x:v>31</x:v>
      </x:c>
      <x:c r="F2" s="47" t="s">
        <x:v>31</x:v>
      </x:c>
      <x:c r="G2" s="47" t="s">
        <x:v>32</x:v>
      </x:c>
    </x:row>
    <x:row r="3" spans="1:7" ht="22.5" customHeight="1">
      <x:c r="B3" s="47">
        <x:v>0</x:v>
      </x:c>
      <x:c r="C3" s="47" t="s">
        <x:v>33</x:v>
      </x:c>
      <x:c r="D3" s="47" t="s">
        <x:v>34</x:v>
      </x:c>
      <x:c r="E3" s="47" t="s">
        <x:v>35</x:v>
      </x:c>
      <x:c r="F3" s="47" t="s">
        <x:v>36</x:v>
      </x:c>
      <x:c r="G3" s="47" t="s">
        <x:v>32</x:v>
      </x:c>
    </x:row>
    <x:row r="4" spans="1:7" ht="22.5" customHeight="1">
      <x:c r="B4" s="47">
        <x:v>0</x:v>
      </x:c>
      <x:c r="C4" s="47" t="s">
        <x:v>37</x:v>
      </x:c>
      <x:c r="D4" s="47" t="s">
        <x:v>38</x:v>
      </x:c>
      <x:c r="E4" s="47" t="s">
        <x:v>39</x:v>
      </x:c>
      <x:c r="F4" s="47" t="s">
        <x:v>40</x:v>
      </x:c>
      <x:c r="G4" s="47" t="s">
        <x:v>32</x:v>
      </x:c>
    </x:row>
    <x:row r="5" spans="1:7" ht="22.5" customHeight="1">
      <x:c r="B5" s="47">
        <x:v>0</x:v>
      </x:c>
      <x:c r="C5" s="47" t="s">
        <x:v>41</x:v>
      </x:c>
      <x:c r="D5" s="47" t="s">
        <x:v>42</x:v>
      </x:c>
      <x:c r="E5" s="47" t="s">
        <x:v>43</x:v>
      </x:c>
      <x:c r="F5" s="47" t="s">
        <x:v>44</x:v>
      </x:c>
      <x:c r="G5" s="47" t="s">
        <x:v>32</x:v>
      </x:c>
    </x:row>
    <x:row r="6" spans="1:7" ht="22.5" customHeight="1">
      <x:c r="B6" s="47">
        <x:v>2</x:v>
      </x:c>
      <x:c r="C6" s="47" t="s">
        <x:v>45</x:v>
      </x:c>
      <x:c r="D6" s="47" t="s">
        <x:v>46</x:v>
      </x:c>
      <x:c r="E6" s="47" t="s">
        <x:v>47</x:v>
      </x:c>
      <x:c r="F6" s="47" t="s">
        <x:v>48</x:v>
      </x:c>
      <x:c r="G6" s="47" t="s">
        <x:v>32</x:v>
      </x:c>
    </x:row>
    <x:row r="7" spans="1:7" ht="22.5" customHeight="1">
      <x:c r="B7" s="47">
        <x:v>2</x:v>
      </x:c>
      <x:c r="C7" s="47" t="s">
        <x:v>49</x:v>
      </x:c>
      <x:c r="D7" s="47">
        <x:v>43427138</x:v>
      </x:c>
      <x:c r="E7" s="47" t="s">
        <x:v>35</x:v>
      </x:c>
      <x:c r="F7" s="47" t="s">
        <x:v>50</x:v>
      </x:c>
      <x:c r="G7" s="47" t="s">
        <x:v>32</x:v>
      </x:c>
    </x:row>
    <x:row r="8" spans="1:7" ht="22.5" customHeight="1">
      <x:c r="B8" s="47">
        <x:v>0</x:v>
      </x:c>
      <x:c r="C8" s="47" t="s">
        <x:v>51</x:v>
      </x:c>
      <x:c r="D8" s="47" t="s">
        <x:v>52</x:v>
      </x:c>
      <x:c r="E8" s="47" t="s">
        <x:v>47</x:v>
      </x:c>
      <x:c r="F8" s="47" t="s">
        <x:v>53</x:v>
      </x:c>
      <x:c r="G8" s="47" t="s">
        <x:v>32</x:v>
      </x:c>
    </x:row>
    <x:row r="9" spans="1:7" ht="22.5" customHeight="1">
      <x:c r="B9" s="47">
        <x:v>0</x:v>
      </x:c>
      <x:c r="C9" s="47" t="s">
        <x:v>54</x:v>
      </x:c>
      <x:c r="D9" s="47">
        <x:v>900207008</x:v>
      </x:c>
      <x:c r="E9" s="47" t="s">
        <x:v>47</x:v>
      </x:c>
      <x:c r="F9" s="47" t="s">
        <x:v>55</x:v>
      </x:c>
      <x:c r="G9" s="47" t="s">
        <x:v>32</x:v>
      </x:c>
    </x:row>
    <x:row r="10" spans="1:7" ht="22.5" customHeight="1">
      <x:c r="B10" s="47">
        <x:v>0</x:v>
      </x:c>
      <x:c r="C10" s="47" t="s">
        <x:v>56</x:v>
      </x:c>
      <x:c r="D10" s="47">
        <x:v>90014041105</x:v>
      </x:c>
      <x:c r="E10" s="47" t="s">
        <x:v>47</x:v>
      </x:c>
      <x:c r="F10" s="47" t="s">
        <x:v>57</x:v>
      </x:c>
      <x:c r="G10" s="47" t="s">
        <x:v>32</x:v>
      </x:c>
    </x:row>
    <x:row r="11" spans="1:7" ht="22.5" customHeight="1">
      <x:c r="B11" s="47">
        <x:v>2</x:v>
      </x:c>
      <x:c r="C11" s="47" t="s">
        <x:v>58</x:v>
      </x:c>
      <x:c r="D11" s="47" t="s">
        <x:v>59</x:v>
      </x:c>
      <x:c r="E11" s="47" t="s">
        <x:v>60</x:v>
      </x:c>
      <x:c r="F11" s="47" t="s">
        <x:v>61</x:v>
      </x:c>
      <x:c r="G11" s="47" t="s">
        <x:v>32</x:v>
      </x:c>
    </x:row>
    <x:row r="12" spans="1:7" ht="22.5" customHeight="1">
      <x:c r="B12" s="47">
        <x:v>0</x:v>
      </x:c>
      <x:c r="C12" s="47" t="s">
        <x:v>62</x:v>
      </x:c>
      <x:c r="D12" s="47">
        <x:v>8909192832</x:v>
      </x:c>
      <x:c r="E12" s="47" t="s">
        <x:v>43</x:v>
      </x:c>
      <x:c r="F12" s="47" t="s">
        <x:v>63</x:v>
      </x:c>
      <x:c r="G12" s="47" t="s">
        <x:v>32</x:v>
      </x:c>
    </x:row>
    <x:row r="13" spans="1:7" ht="22.5" customHeight="1">
      <x:c r="B13" s="47">
        <x:v>0</x:v>
      </x:c>
      <x:c r="C13" s="47" t="s">
        <x:v>64</x:v>
      </x:c>
      <x:c r="D13" s="47" t="s">
        <x:v>65</x:v>
      </x:c>
      <x:c r="E13" s="47" t="s">
        <x:v>66</x:v>
      </x:c>
      <x:c r="F13" s="47" t="s">
        <x:v>67</x:v>
      </x:c>
      <x:c r="G13" s="47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"/>
  </x:tableParts>
</x:worksheet>
</file>

<file path=xl/worksheets/sheet3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O10"/>
  <x:sheetViews>
    <x:sheetView workbookViewId="0">
      <x:pane xSplit="0" ySplit="1" topLeftCell="A2" activePane="bottomLeft" state="frozenSplit"/>
      <x:selection activeCell="B3" sqref="B3"/>
      <x:selection pane="bottomLeft" activeCell="B3" sqref="B3"/>
    </x:sheetView>
  </x:sheetViews>
  <x:sheetFormatPr defaultColWidth="12.567768" defaultRowHeight="15" customHeight="1"/>
  <x:cols>
    <x:col min="1" max="9" width="18.88" style="0" customWidth="1"/>
    <x:col min="10" max="10" width="24.13" style="0" customWidth="1"/>
    <x:col min="11" max="21" width="18.88" style="0" customWidth="1"/>
  </x:cols>
  <x:sheetData>
    <x:row r="1" spans="1:21" ht="22.5" customHeight="1">
      <x:c r="A1" s="78" t="s">
        <x:v>68</x:v>
      </x:c>
      <x:c r="B1" s="78" t="s">
        <x:v>69</x:v>
      </x:c>
      <x:c r="C1" s="78" t="s">
        <x:v>13</x:v>
      </x:c>
      <x:c r="D1" s="78" t="s">
        <x:v>70</x:v>
      </x:c>
      <x:c r="E1" s="78" t="s">
        <x:v>71</x:v>
      </x:c>
      <x:c r="F1" s="78" t="s">
        <x:v>72</x:v>
      </x:c>
      <x:c r="G1" s="78" t="s">
        <x:v>73</x:v>
      </x:c>
      <x:c r="H1" s="78" t="s">
        <x:v>74</x:v>
      </x:c>
      <x:c r="I1" s="78" t="s">
        <x:v>75</x:v>
      </x:c>
      <x:c r="J1" s="78" t="s">
        <x:v>76</x:v>
      </x:c>
      <x:c r="K1" s="78" t="s">
        <x:v>77</x:v>
      </x:c>
      <x:c r="L1" s="78" t="s">
        <x:v>78</x:v>
      </x:c>
      <x:c r="M1" s="78" t="s">
        <x:v>79</x:v>
      </x:c>
      <x:c r="N1" s="78" t="s">
        <x:v>80</x:v>
      </x:c>
      <x:c r="O1" s="78" t="s">
        <x:v>25</x:v>
      </x:c>
    </x:row>
    <x:row r="2" spans="1:21" ht="22.5" customHeight="1">
      <x:c r="A2" s="82">
        <x:v>45874.3539368634</x:v>
      </x:c>
      <x:c r="B2" s="47"/>
      <x:c r="C2" s="47"/>
      <x:c r="D2" s="47"/>
      <x:c r="E2" s="47"/>
      <x:c r="F2" s="47"/>
      <x:c r="G2" s="47"/>
      <x:c r="H2" s="47" t="s">
        <x:v>81</x:v>
      </x:c>
      <x:c r="I2" s="47">
        <x:v>3</x:v>
      </x:c>
      <x:c r="J2" s="47"/>
      <x:c r="K2" s="47">
        <x:v>3200</x:v>
      </x:c>
      <x:c r="L2" s="47"/>
      <x:c r="M2" s="47"/>
      <x:c r="N2" s="47" t="s">
        <x:v>82</x:v>
      </x:c>
      <x:c r="O2" s="47" t="s">
        <x:v>58</x:v>
      </x:c>
    </x:row>
    <x:row r="3" spans="1:21" ht="22.5" customHeight="1">
      <x:c r="A3" s="82">
        <x:v>45874.3545282292</x:v>
      </x:c>
      <x:c r="N3" s="47" t="s">
        <x:v>82</x:v>
      </x:c>
      <x:c r="O3" s="47" t="s">
        <x:v>83</x:v>
      </x:c>
    </x:row>
    <x:row r="4" spans="1:21" ht="22.5" customHeight="1">
      <x:c r="A4" s="82">
        <x:v>45874.3549680093</x:v>
      </x:c>
      <x:c r="N4" s="47" t="s">
        <x:v>82</x:v>
      </x:c>
      <x:c r="O4" s="47" t="s">
        <x:v>84</x:v>
      </x:c>
    </x:row>
    <x:row r="5" spans="1:21" ht="22.5" customHeight="1">
      <x:c r="A5" s="82">
        <x:v>45874.3625240856</x:v>
      </x:c>
      <x:c r="H5" s="47" t="s">
        <x:v>81</x:v>
      </x:c>
      <x:c r="I5" s="47">
        <x:v>3</x:v>
      </x:c>
      <x:c r="K5" s="47">
        <x:v>3200</x:v>
      </x:c>
      <x:c r="N5" s="47" t="s">
        <x:v>82</x:v>
      </x:c>
      <x:c r="O5" s="47" t="s">
        <x:v>85</x:v>
      </x:c>
    </x:row>
    <x:row r="6" spans="1:21" ht="22.5" customHeight="1">
      <x:c r="A6" s="82">
        <x:v>45874.3639540741</x:v>
      </x:c>
      <x:c r="C6" s="47">
        <x:v>1</x:v>
      </x:c>
      <x:c r="D6" s="47">
        <x:v>4343</x:v>
      </x:c>
      <x:c r="E6" s="47">
        <x:v>3434</x:v>
      </x:c>
      <x:c r="F6" s="47" t="s">
        <x:v>86</x:v>
      </x:c>
      <x:c r="G6" s="86" t="s">
        <x:v>87</x:v>
      </x:c>
      <x:c r="H6" s="47" t="s">
        <x:v>81</x:v>
      </x:c>
      <x:c r="I6" s="47">
        <x:v>1</x:v>
      </x:c>
      <x:c r="J6" s="47">
        <x:v>1</x:v>
      </x:c>
      <x:c r="K6" s="47">
        <x:v>1000000</x:v>
      </x:c>
      <x:c r="N6" s="47" t="s">
        <x:v>82</x:v>
      </x:c>
      <x:c r="O6" s="47" t="s">
        <x:v>88</x:v>
      </x:c>
    </x:row>
    <x:row r="7" spans="1:21" ht="22.5" customHeight="1">
      <x:c r="A7" s="82">
        <x:v>45874.365150463</x:v>
      </x:c>
      <x:c r="K7" s="47">
        <x:v>3200</x:v>
      </x:c>
      <x:c r="N7" s="47" t="s">
        <x:v>82</x:v>
      </x:c>
      <x:c r="O7" s="47" t="s">
        <x:v>88</x:v>
      </x:c>
    </x:row>
    <x:row r="8" spans="1:21" ht="22.5" customHeight="1">
      <x:c r="A8" s="82"/>
      <x:c r="B8" s="47"/>
      <x:c r="C8" s="47"/>
      <x:c r="D8" s="47"/>
      <x:c r="E8" s="47"/>
      <x:c r="F8" s="47"/>
      <x:c r="G8" s="47"/>
      <x:c r="H8" s="47"/>
      <x:c r="I8" s="47"/>
      <x:c r="J8" s="47"/>
      <x:c r="K8" s="47"/>
      <x:c r="L8" s="47"/>
      <x:c r="M8" s="47"/>
      <x:c r="N8" s="47"/>
      <x:c r="O8" s="47" t="s">
        <x:v>88</x:v>
      </x:c>
    </x:row>
    <x:row r="9" spans="1:21">
      <x:c r="O9" s="87" t="s">
        <x:v>85</x:v>
      </x:c>
    </x:row>
    <x:row r="10" spans="1:21">
      <x:c r="O10" s="87" t="s">
        <x:v>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"/>
  </x:tableParts>
</x:worksheet>
</file>

<file path=xl/worksheets/sheet4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Z2"/>
  <x:sheetViews>
    <x:sheetView workbookViewId="0"/>
  </x:sheetViews>
  <x:sheetFormatPr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13" style="0" customWidth="1"/>
    <x:col min="5" max="5" width="24" style="0" customWidth="1"/>
    <x:col min="6" max="6" width="12.567768" style="0" customWidth="1"/>
    <x:col min="7" max="7" width="20.38" style="0" customWidth="1"/>
    <x:col min="8" max="8" width="19.25" style="0" customWidth="1"/>
    <x:col min="9" max="9" width="20.13" style="0" customWidth="1"/>
  </x:cols>
  <x:sheetData>
    <x:row r="1" spans="1:26">
      <x:c r="B1" s="103" t="s">
        <x:v>89</x:v>
      </x:c>
      <x:c r="C1" s="104" t="s">
        <x:v>90</x:v>
      </x:c>
      <x:c r="D1" s="104" t="s">
        <x:v>91</x:v>
      </x:c>
      <x:c r="E1" s="104" t="s">
        <x:v>92</x:v>
      </x:c>
      <x:c r="F1" s="103" t="s">
        <x:v>10</x:v>
      </x:c>
      <x:c r="G1" s="103" t="s">
        <x:v>93</x:v>
      </x:c>
      <x:c r="H1" s="103" t="s">
        <x:v>94</x:v>
      </x:c>
      <x:c r="I1" s="104" t="s">
        <x:v>95</x:v>
      </x:c>
      <x:c r="J1" s="87" t="s">
        <x:v>96</x:v>
      </x:c>
      <x:c r="K1" s="87" t="s">
        <x:v>97</x:v>
      </x:c>
      <x:c r="L1" s="87" t="s">
        <x:v>98</x:v>
      </x:c>
    </x:row>
    <x:row r="2" spans="1:26">
      <x:c r="B2" s="87">
        <x:v>11</x:v>
      </x:c>
      <x:c r="C2" s="87" t="s">
        <x:v>99</x:v>
      </x:c>
      <x:c r="D2" s="87" t="s">
        <x:v>107</x:v>
      </x:c>
      <x:c r="E2" s="90" t="s">
        <x:v>108</x:v>
      </x:c>
      <x:c r="F2" s="87" t="s">
        <x:v>109</x:v>
      </x:c>
      <x:c r="G2" s="87" t="s">
        <x:v>110</x:v>
      </x:c>
      <x:c r="H2" s="87" t="s">
        <x:v>101</x:v>
      </x:c>
      <x:c r="I2" s="87" t="s">
        <x:v>111</x:v>
      </x:c>
      <x:c r="J2" s="87" t="s">
        <x:v>101</x:v>
      </x:c>
      <x:c r="K2" s="87" t="s">
        <x:v>101</x:v>
      </x:c>
      <x:c r="L2" s="87" t="s">
        <x:v>99</x:v>
      </x:c>
      <x:c r="M2" s="87" t="s">
        <x:v>112</x:v>
      </x:c>
      <x:c r="N2" s="87" t="s">
        <x:v>43</x:v>
      </x:c>
      <x:c r="O2" s="87" t="s">
        <x:v>113</x:v>
      </x:c>
      <x:c r="P2" s="87" t="s">
        <x:v>114</x:v>
      </x:c>
      <x:c r="Q2" s="87"/>
      <x:c r="R2" s="87"/>
      <x:c r="S2" s="87"/>
      <x:c r="Z2" s="87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M8"/>
  <x:sheetViews>
    <x:sheetView workbookViewId="0">
      <x:pane xSplit="0" ySplit="1" topLeftCell="A2" activePane="bottomLeft" state="frozenSplit"/>
      <x:selection activeCell="B3" sqref="B3"/>
      <x:selection pane="bottomLeft" activeCell="B3" sqref="B3"/>
    </x:sheetView>
  </x:sheetViews>
  <x:sheetFormatPr defaultColWidth="12.567768" defaultRowHeight="15" customHeight="1"/>
  <x:cols>
    <x:col min="1" max="4" width="18.88" style="0" customWidth="1"/>
    <x:col min="5" max="5" width="23.13" style="0" customWidth="1"/>
    <x:col min="6" max="7" width="18.88" style="0" customWidth="1"/>
    <x:col min="8" max="8" width="20.63" style="0" customWidth="1"/>
    <x:col min="9" max="9" width="19.5" style="0" customWidth="1"/>
    <x:col min="10" max="10" width="20.75" style="0" customWidth="1"/>
    <x:col min="11" max="19" width="18.88" style="0" customWidth="1"/>
  </x:cols>
  <x:sheetData>
    <x:row r="1" spans="1:19" ht="22.5" customHeight="1">
      <x:c r="A1" s="78" t="s">
        <x:v>68</x:v>
      </x:c>
      <x:c r="B1" s="78" t="s">
        <x:v>24</x:v>
      </x:c>
      <x:c r="C1" s="78" t="s">
        <x:v>90</x:v>
      </x:c>
      <x:c r="D1" s="78" t="s">
        <x:v>91</x:v>
      </x:c>
      <x:c r="E1" s="78" t="s">
        <x:v>92</x:v>
      </x:c>
      <x:c r="F1" s="78" t="s">
        <x:v>10</x:v>
      </x:c>
      <x:c r="G1" s="78" t="s">
        <x:v>29</x:v>
      </x:c>
      <x:c r="H1" s="78" t="s">
        <x:v>93</x:v>
      </x:c>
      <x:c r="I1" s="78" t="s">
        <x:v>94</x:v>
      </x:c>
      <x:c r="J1" s="78" t="s">
        <x:v>95</x:v>
      </x:c>
      <x:c r="K1" s="78" t="s">
        <x:v>96</x:v>
      </x:c>
      <x:c r="L1" s="78" t="s">
        <x:v>97</x:v>
      </x:c>
      <x:c r="M1" s="78" t="s">
        <x:v>98</x:v>
      </x:c>
    </x:row>
    <x:row r="2" spans="1:19" ht="22.5" customHeight="1">
      <x:c r="A2" s="82">
        <x:v>45874.3520087384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 t="s">
        <x:v>45</x:v>
      </x:c>
    </x:row>
    <x:row r="3" spans="1:19" ht="22.5" customHeight="1">
      <x:c r="A3" s="82">
        <x:v>45874.3528942014</x:v>
      </x:c>
      <x:c r="M3" s="47" t="s">
        <x:v>45</x:v>
      </x:c>
    </x:row>
    <x:row r="4" spans="1:19" ht="22.5" customHeight="1">
      <x:c r="A4" s="82">
        <x:v>45874.3534597685</x:v>
      </x:c>
      <x:c r="M4" s="47" t="s">
        <x:v>58</x:v>
      </x:c>
    </x:row>
    <x:row r="5" spans="1:19" ht="22.5" customHeight="1">
      <x:c r="A5" s="82">
        <x:v>45874.3547579745</x:v>
      </x:c>
      <x:c r="M5" s="47" t="s">
        <x:v>54</x:v>
      </x:c>
    </x:row>
    <x:row r="6" spans="1:19" ht="22.5" customHeight="1">
      <x:c r="A6" s="82">
        <x:v>45874.3612665046</x:v>
      </x:c>
      <x:c r="M6" s="47" t="s">
        <x:v>45</x:v>
      </x:c>
    </x:row>
    <x:row r="7" spans="1:19" ht="22.5" customHeight="1">
      <x:c r="A7" s="82">
        <x:v>45874.3633240046</x:v>
      </x:c>
      <x:c r="M7" s="47" t="s">
        <x:v>30</x:v>
      </x:c>
    </x:row>
    <x:row r="8" spans="1:19" ht="22.5" customHeight="1">
      <x:c r="A8" s="82">
        <x:v>45875.3254398958</x:v>
      </x:c>
      <x:c r="C8" s="47" t="s">
        <x:v>100</x:v>
      </x:c>
      <x:c r="D8" s="47" t="s">
        <x:v>101</x:v>
      </x:c>
      <x:c r="E8" s="86" t="s">
        <x:v>105</x:v>
      </x:c>
      <x:c r="F8" s="47" t="s">
        <x:v>102</x:v>
      </x:c>
      <x:c r="G8" s="47" t="s">
        <x:v>106</x:v>
      </x:c>
      <x:c r="H8" s="47" t="s">
        <x:v>103</x:v>
      </x:c>
      <x:c r="I8" s="47" t="s">
        <x:v>101</x:v>
      </x:c>
      <x:c r="J8" s="47" t="s">
        <x:v>104</x:v>
      </x:c>
      <x:c r="K8" s="47" t="s">
        <x:v>101</x:v>
      </x:c>
      <x:c r="L8" s="47" t="s">
        <x:v>101</x:v>
      </x:c>
      <x:c r="M8" s="47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Hoja1</vt:lpstr>
      <vt:lpstr>info</vt:lpstr>
      <vt:lpstr>forms_productos</vt:lpstr>
      <vt:lpstr>Instancia</vt:lpstr>
      <vt:lpstr>forms</vt:lpstr>
      <vt:lpstr>Hoja1!Print_Area</vt:lpstr>
      <vt:lpstr>Hoja1!Print_Titles</vt:lpstr>
      <vt:lpstr>info!Print_Area</vt:lpstr>
      <vt:lpstr>info!Print_Titles</vt:lpstr>
      <vt:lpstr>forms_productos!Print_Area</vt:lpstr>
      <vt:lpstr>forms_productos!Print_Titles</vt:lpstr>
      <vt:lpstr>Instancia!Print_Area</vt:lpstr>
      <vt:lpstr>Instancia!Print_Titles</vt:lpstr>
      <vt:lpstr>forms!Print_Area</vt:lpstr>
      <vt:lpstr>forms!Print_Titles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