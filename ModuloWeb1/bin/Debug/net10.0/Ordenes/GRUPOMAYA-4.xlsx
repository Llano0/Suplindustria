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334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Asus\Desktop\milo\moduloweb-ordenes-compra\ModuloWeb1\Plantillas\"/>
    </mc:Choice>
  </mc:AlternateContent>
  <xr:revisionPtr revIDLastSave="0" documentId="13_ncr:1_{2738177A-CF18-4C46-9123-83C3D39A85A5}" xr6:coauthVersionLast="47" xr6:coauthVersionMax="47" xr10:uidLastSave="{00000000-0000-0000-0000-000000000000}"/>
  <x:bookViews>
    <x:workbookView xWindow="-110" yWindow="-110" windowWidth="19420" windowHeight="10300" firstSheet="0" activeTab="0" xr2:uid="{00000000-000D-0000-FFFF-FFFF00000000}"/>
  </x:bookViews>
  <x:sheets>
    <x:sheet name="Hoja1" sheetId="1" r:id="rId1"/>
    <x:sheet name="Instancia" sheetId="4" state="hidden" r:id="rId2"/>
  </x:sheets>
  <x:definedNames/>
  <x:calcPr calcId="181029"/>
  <x:extLst>
    <x:ext xmlns:xlwcv="http://schemas.microsoft.com/office/spreadsheetml/2024/workbookCompatibilityVersion" uri="{D14903EA-33C4-47F7-8F05-3474C54BE107}">
      <xlwcv:version setVersion="1"/>
    </x:ext>
  </x:extLst>
</x:workbook>
</file>

<file path=xl/calcChain.xml><?xml version="1.0" encoding="utf-8"?>
<x:calcChain xmlns:x="http://schemas.openxmlformats.org/spreadsheetml/2006/main">
  <x:c r="I6" i="1"/>
  <x:c r="M6" i="1"/>
  <x:c r="B8" i="1"/>
  <x:c r="B9" i="1"/>
  <x:c r="B10" i="1"/>
  <x:c r="B11" i="1"/>
  <x:c r="B13" i="1"/>
  <x:c r="J14" i="1"/>
  <x:c r="B15" i="1"/>
  <x:c r="E15" i="1"/>
  <x:c r="G15" i="1"/>
  <x:c r="J15" i="1"/>
  <x:c r="B16" i="1"/>
  <x:c r="N19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<x:sst xmlns:x="http://schemas.openxmlformats.org/spreadsheetml/2006/main">
  <x:si>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0"/>
        <x:color theme="1"/>
        <x:rFont val="Arial"/>
        <x:family val="2"/>
      </x:rPr>
      <x:t>Facturar a:</x:t>
    </x:r>
    <x:r>
      <x:rPr>
        <x:vertAlign val="baseline"/>
        <x:sz val="10"/>
        <x:color theme="1"/>
        <x:rFont val="Arial"/>
        <x:family val="2"/>
      </x:rPr>
      <x:t xml:space="preserve">  SUPLINDUSTRIA S.A.S.</x:t>
    </x:r>
  </x:si>
  <x:si>
    <x:r>
      <x:rPr>
        <x:b/>
        <x:vertAlign val="baseline"/>
        <x:sz val="10"/>
        <x:color theme="1"/>
        <x:rFont val="Arial"/>
        <x:family val="2"/>
      </x:rPr>
      <x:t xml:space="preserve">Nit/CC: </x:t>
    </x:r>
    <x:r>
      <x:rPr>
        <x:vertAlign val="baseline"/>
        <x:sz val="10"/>
        <x:color theme="1"/>
        <x:rFont val="Arial"/>
        <x:family val="2"/>
      </x:rPr>
      <x:t xml:space="preserve">   901.130.635-2     </x:t>
    </x:r>
  </x:si>
  <x:si>
    <x:r>
      <x:rPr>
        <x:b/>
        <x:vertAlign val="baseline"/>
        <x:sz val="10"/>
        <x:color theme="1"/>
        <x:rFont val="Arial"/>
        <x:family val="2"/>
      </x:rPr>
      <x:t xml:space="preserve">Ciudad: </x:t>
    </x:r>
    <x:r>
      <x:rPr>
        <x:vertAlign val="baseline"/>
        <x:sz val="10"/>
        <x:color theme="1"/>
        <x:rFont val="Arial"/>
        <x:family val="2"/>
      </x:rPr>
      <x:t xml:space="preserve">     Medellin       </x:t>
    </x:r>
    <x:r>
      <x:rPr>
        <x:b/>
        <x:vertAlign val="baseline"/>
        <x:sz val="10"/>
        <x:color theme="1"/>
        <x:rFont val="Arial"/>
        <x:family val="2"/>
      </x:rPr>
      <x:t>Depto:</x:t>
    </x:r>
    <x:r>
      <x:rPr>
        <x:vertAlign val="baseline"/>
        <x:sz val="10"/>
        <x:color theme="1"/>
        <x:rFont val="Arial"/>
        <x:family val="2"/>
      </x:rPr>
      <x:t xml:space="preserve">    Antioquia</x:t>
    </x:r>
  </x:si>
  <x:si>
    <x:r>
      <x:rPr>
        <x:b/>
        <x:vertAlign val="baseline"/>
        <x:sz val="10"/>
        <x:color theme="1"/>
        <x:rFont val="Arial"/>
        <x:family val="2"/>
      </x:rPr>
      <x:t xml:space="preserve">Direccion: </x:t>
    </x:r>
    <x:r>
      <x:rPr>
        <x:vertAlign val="baseline"/>
        <x:sz val="10"/>
        <x:color theme="1"/>
        <x:rFont val="Arial"/>
        <x:family val="2"/>
      </x:rPr>
      <x:t xml:space="preserve"> CRR. 56 # 29-60</x:t>
    </x:r>
  </x:si>
  <x:si>
    <x:t>Telefonos/Fax/Cel:    3185555553</x:t>
  </x:si>
  <x:si>
    <x:r>
      <x:rPr>
        <x:b/>
        <x:vertAlign val="baseline"/>
        <x:sz val="10"/>
        <x:color theme="1"/>
        <x:rFont val="Arial"/>
        <x:family val="2"/>
      </x:rPr>
      <x:t>Telefonos:</x:t>
    </x:r>
    <x:r>
      <x:rPr>
        <x:vertAlign val="baseline"/>
        <x:sz val="10"/>
        <x:color theme="1"/>
        <x:rFont val="Arial"/>
        <x:family val="2"/>
      </x:rPr>
      <x:t xml:space="preserve">    (+574) 5776061</x:t>
    </x:r>
  </x:si>
  <x:si>
    <x:t xml:space="preserve">Fax:  </x:t>
  </x:si>
  <x:si>
    <x:t>OC 1518</x:t>
  </x:si>
  <x:si>
    <x:t>Fecha Orden</x:t>
  </x:si>
  <x:si>
    <x:t>Moneda</x:t>
  </x:si>
  <x:si>
    <x:t>Comprador</x:t>
  </x:si>
  <x:si>
    <x:t>Ln</x:t>
  </x:si>
  <x:si>
    <x:t>Item</x:t>
  </x:si>
  <x:si>
    <x:t>Catalogo</x:t>
  </x:si>
  <x:si>
    <x:t>Modelo</x:t>
  </x:si>
  <x:si>
    <x:t>Descripcion</x:t>
  </x:si>
  <x:si>
    <x:t>F. Entrega</x:t>
  </x:si>
  <x:si>
    <x:t>%IVA</x:t>
  </x:si>
  <x:si>
    <x:t>Cantidad</x:t>
  </x:si>
  <x:si>
    <x:t>UM</x:t>
  </x:si>
  <x:si>
    <x:t>Precio Unit.</x:t>
  </x:si>
  <x:si>
    <x:t>% Desc.</x:t>
  </x:si>
  <x:si>
    <x:t>Valor Total</x:t>
  </x:si>
  <x:si>
    <x:t>Número de Orden</x:t>
  </x:si>
  <x:si>
    <x:t>Contacto</x:t>
  </x:si>
  <x:si>
    <x:t>Correo Contacto</x:t>
  </x:si>
  <x:si>
    <x:t>Fecha de Orden (D/M/A)</x:t>
  </x:si>
  <x:si>
    <x:t>Entregar a (Principal)</x:t>
  </x:si>
  <x:si>
    <x:t>Entregar a (Alterno)</x:t>
  </x:si>
  <x:si>
    <x:t>Condiciones de Pago</x:t>
  </x:si>
  <x:si>
    <x:t>Observaciones</x:t>
  </x:si>
  <x:si>
    <x:t>Descuento</x:t>
  </x:si>
  <x:si>
    <x:t>proveedor</x:t>
  </x:si>
  <x:si>
    <x:t>Juan Gonzalo Velásquez</x:t>
  </x:si>
  <x:si>
    <x:t>gerencia@mayavelasquez.com.co</x:t>
  </x:si>
  <x:si>
    <x:t>NA</x:t>
  </x:si>
  <x:si>
    <x:t>SUPLINDUSTRIA S.A.S.</x:t>
  </x:si>
  <x:si>
    <x:t>30 días</x:t>
  </x:si>
  <x:si>
    <x:t>GRUPO MAYA VELASQUEZ S.A.S</x:t>
  </x:si>
  <x:si>
    <x:t>900536499-7</x:t>
  </x:si>
  <x:si>
    <x:t>Medellin</x:t>
  </x:si>
  <x:si>
    <x:t>CL 29 D  55 153</x:t>
  </x:si>
  <x:si>
    <x:t/>
  </x:si>
  <x:si>
    <x:t>2123</x:t>
  </x:si>
  <x:si>
    <x:t>GRUPOMAYA-4</x:t>
  </x:si>
  <x:si>
    <x:t>19/03/2026</x:t>
  </x:si>
  <x:si>
    <x:t>COP</x:t>
  </x:si>
  <x:si>
    <x:t>UND</x:t>
  </x:si>
  <x:si>
    <x:t>Observaciones:</x:t>
  </x:si>
  <x:si>
    <x:t>Firma y sello</x:t>
  </x:si>
  <x:si>
    <x:t>Subtotal</x:t>
  </x:si>
  <x:si>
    <x:t>$</x:t>
  </x:si>
  <x:si>
    <x:t>Descuento:</x:t>
  </x:si>
  <x:si>
    <x:t>IVA:</x:t>
  </x:si>
  <x:si>
    <x:t>Total: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</x:si>
</x:sst>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xmlns:x="http://schemas.openxmlformats.org/spreadsheetml/2006/main" mc:Ignorable="x14ac x16r2 xr xr9">
  <x:numFmts count="7">
    <x:numFmt numFmtId="164" formatCode="_(&quot;$&quot;* #,##0_);_(&quot;$&quot;* \(#,##0\);_(&quot;$&quot;* &quot;-&quot;??_);_(@_)"/>
    <x:numFmt numFmtId="165" formatCode="dd/mm/yyyy"/>
    <x:numFmt numFmtId="166" formatCode="_-[$$-409]* #,##0_ ;_-[$$-409]* \-#,##0\ ;_-[$$-409]* &quot;-&quot;_ ;_-@_ "/>
    <x:numFmt numFmtId="167" formatCode="_(&quot;$&quot;* #,##0.00_);_(&quot;$&quot;* \(#,##0.00\);_(&quot;$&quot;* &quot;-&quot;_);_(@_)"/>
    <x:numFmt numFmtId="168" formatCode="_(&quot;$&quot;* #,##0.00_);_(&quot;$&quot;* \(#,##0.00\);_(&quot;$&quot;* &quot;-&quot;??_);_(@_)"/>
    <x:numFmt numFmtId="169" formatCode="_(&quot;$&quot;* #,##0_);_(&quot;$&quot;* \(#,##0\);_(&quot;$&quot;* &quot;-&quot;_);_(@_)"/>
    <x:numFmt numFmtId="170" formatCode="#,##0.00"/>
  </x:numFmts>
  <x:fonts count="15">
    <x:font>
      <x:sz val="10"/>
      <x:color rgb="FF000000"/>
      <x:name val="Arial"/>
      <x:scheme val="minor"/>
    </x:font>
    <x:font>
      <x:sz val="8"/>
      <x:color theme="1"/>
      <x:name val="Arial"/>
    </x:font>
    <x:font>
      <x:sz val="10"/>
      <x:color theme="1"/>
      <x:name val="Arial"/>
      <x:scheme val="minor"/>
    </x:font>
    <x:font>
      <x:sz val="10"/>
      <x:color theme="1"/>
      <x:name val="Arial"/>
    </x:font>
    <x:font>
      <x:b/>
      <x:sz val="14"/>
      <x:color theme="1"/>
      <x:name val="Arial"/>
    </x:font>
    <x:font>
      <x:b/>
      <x:sz val="14"/>
      <x:color theme="1"/>
      <x:name val="Arial"/>
      <x:scheme val="minor"/>
    </x:font>
    <x:font>
      <x:b/>
      <x:sz val="10"/>
      <x:color theme="1"/>
      <x:name val="Arial"/>
    </x:font>
    <x:font>
      <x:sz val="10"/>
      <x:name val="Arial"/>
    </x:font>
    <x:font>
      <x:b/>
      <x:sz val="7"/>
      <x:color theme="1"/>
      <x:name val="Arial"/>
    </x:font>
    <x:font>
      <x:b/>
      <x:sz val="10"/>
      <x:color theme="1"/>
      <x:name val="Arial"/>
    </x:font>
    <x:font>
      <x:sz val="9"/>
      <x:color theme="1"/>
      <x:name val="Arial"/>
    </x:font>
    <x:font>
      <x:sz val="12"/>
      <x:color rgb="FF202124"/>
      <x:name val="Docs-Roboto"/>
    </x:font>
    <x:font>
      <x:vertAlign val="baseline"/>
      <x:sz val="11"/>
      <x:color rgb="FF000000"/>
      <x:name val="Calibri"/>
      <x:family val="2"/>
    </x:font>
    <x:font>
      <x:i/>
      <x:vertAlign val="baseline"/>
      <x:sz val="10"/>
      <x:color theme="1"/>
      <x:name val="Arial"/>
      <x:family val="2"/>
    </x:font>
    <x:font>
      <x:b/>
      <x:vertAlign val="baseline"/>
      <x:sz val="9"/>
      <x:color theme="1"/>
      <x:name val="Arial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  <x:fill>
      <x:patternFill patternType="solid">
        <x:fgColor rgb="FFF8F9FA"/>
        <x:bgColor rgb="FFF8F9FA"/>
      </x:patternFill>
    </x:fill>
    <x:fill>
      <x:patternFill patternType="solid">
        <x:fgColor rgb="FFF1F3F4"/>
        <x:bgColor rgb="FFF1F3F4"/>
      </x:patternFill>
    </x:fill>
  </x:fills>
  <x:borders count="36">
    <x:border>
      <x:left/>
      <x:right/>
      <x:top/>
      <x:bottom/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/>
      <x:right/>
      <x:top style="thin">
        <x:color rgb="FF000000"/>
      </x:top>
      <x:bottom/>
      <x:diagonal/>
    </x:border>
    <x:border>
      <x:left/>
      <x:right/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/>
      <x:top/>
      <x:bottom/>
      <x:diagonal/>
    </x:border>
    <x:border>
      <x:left/>
      <x:right/>
      <x:top/>
      <x:bottom/>
      <x:diagonal/>
    </x:border>
    <x:border>
      <x:left/>
      <x:right style="thin">
        <x:color rgb="FF000000"/>
      </x:right>
      <x:top/>
      <x:bottom/>
      <x:diagonal/>
    </x:border>
    <x:border>
      <x:left/>
      <x:right/>
      <x:top/>
      <x:bottom/>
      <x:diagonal/>
    </x:border>
    <x:border>
      <x:left/>
      <x:right/>
      <x:top/>
      <x:bottom/>
      <x:diagonal/>
    </x:border>
    <x:border>
      <x:left style="thin">
        <x:color rgb="FF000000"/>
      </x:left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/>
      <x:top/>
      <x:bottom/>
      <x:diagonal/>
    </x:border>
    <x:border>
      <x:left/>
      <x:right/>
      <x:top/>
      <x:bottom/>
      <x:diagonal/>
    </x:border>
    <x:border>
      <x:left/>
      <x:right style="thin">
        <x:color rgb="FF000000"/>
      </x:right>
      <x:top/>
      <x:bottom/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 diagonalUp="0" diagonalDown="0">
      <x:left style="medium">
        <x:color rgb="FF000000"/>
      </x:left>
      <x:right style="none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00000"/>
      </x:right>
      <x:top style="medium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none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  <x:diagonal style="none">
        <x:color rgb="FF000000"/>
      </x:diagonal>
    </x:border>
  </x:borders>
  <x:cellStyleXfs count="57">
    <x:xf numFmtId="0" fontId="0" fillId="0" borderId="0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2" borderId="1" applyNumberFormat="1" applyFill="0" applyBorder="1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6" fillId="2" borderId="4" applyNumberFormat="1" applyFill="0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0" fontId="6" fillId="2" borderId="6" applyNumberFormat="1" applyFill="0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8" applyNumberFormat="1" applyFill="1" applyBorder="1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6" fillId="2" borderId="11" applyNumberFormat="1" applyFill="0" applyBorder="1" applyAlignment="1" applyProtection="1">
      <x:protection locked="1" hidden="0"/>
    </x:xf>
    <x:xf numFmtId="0" fontId="7" fillId="0" borderId="12" applyNumberFormat="1" applyFill="1" applyBorder="1" applyAlignment="1" applyProtection="1">
      <x:protection locked="1" hidden="0"/>
    </x:xf>
    <x:xf numFmtId="0" fontId="6" fillId="2" borderId="12" applyNumberFormat="1" applyFill="0" applyBorder="1" applyAlignment="1" applyProtection="1">
      <x:protection locked="1" hidden="0"/>
    </x:xf>
    <x:xf numFmtId="0" fontId="7" fillId="0" borderId="15" applyNumberFormat="1" applyFill="1" applyBorder="1" applyAlignment="1" applyProtection="1">
      <x:protection locked="1" hidden="0"/>
    </x:xf>
    <x:xf numFmtId="3" fontId="8" fillId="2" borderId="6" applyNumberFormat="1" applyFill="0" applyBorder="1" applyAlignment="1" applyProtection="1">
      <x:protection locked="1" hidden="0"/>
    </x:xf>
    <x:xf numFmtId="0" fontId="6" fillId="0" borderId="19" applyNumberFormat="1" applyFill="1" applyBorder="1" applyAlignment="1" applyProtection="1">
      <x:protection locked="1" hidden="0"/>
    </x:xf>
    <x:xf numFmtId="0" fontId="7" fillId="0" borderId="20" applyNumberFormat="1" applyFill="1" applyBorder="1" applyAlignment="1" applyProtection="1">
      <x:protection locked="1" hidden="0"/>
    </x:xf>
    <x:xf numFmtId="0" fontId="7" fillId="0" borderId="21" applyNumberFormat="1" applyFill="1" applyBorder="1" applyAlignment="1" applyProtection="1">
      <x:protection locked="1" hidden="0"/>
    </x:xf>
    <x:xf numFmtId="165" fontId="3" fillId="0" borderId="19" applyNumberFormat="1" applyFill="1" applyBorder="1" applyAlignment="1" applyProtection="1">
      <x:protection locked="1" hidden="0"/>
    </x:xf>
    <x:xf numFmtId="0" fontId="3" fillId="0" borderId="19" applyNumberFormat="1" applyFill="1" applyBorder="1" applyAlignment="1" applyProtection="1">
      <x:protection locked="1" hidden="0"/>
    </x:xf>
    <x:xf numFmtId="0" fontId="6" fillId="2" borderId="24" applyNumberFormat="1" applyFill="0" applyBorder="1" applyAlignment="1" applyProtection="1">
      <x:protection locked="1" hidden="0"/>
    </x:xf>
    <x:xf numFmtId="0" fontId="6" fillId="2" borderId="25" applyNumberFormat="1" applyFill="0" applyBorder="1" applyAlignment="1" applyProtection="1">
      <x:protection locked="1" hidden="0"/>
    </x:xf>
    <x:xf numFmtId="0" fontId="6" fillId="2" borderId="26" applyNumberFormat="1" applyFill="0" applyBorder="1" applyAlignment="1" applyProtection="1">
      <x:protection locked="1" hidden="0"/>
    </x:xf>
    <x:xf numFmtId="0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14" fontId="3" fillId="0" borderId="28" applyNumberFormat="1" applyFill="1" applyBorder="1" applyAlignment="1" applyProtection="1">
      <x:protection locked="1" hidden="0"/>
    </x:xf>
    <x:xf numFmtId="165" fontId="3" fillId="0" borderId="28" applyNumberFormat="1" applyFill="1" applyBorder="1" applyAlignment="1" applyProtection="1">
      <x:protection locked="1" hidden="0"/>
    </x:xf>
    <x:xf numFmtId="170" fontId="3" fillId="0" borderId="28" applyNumberFormat="1" applyFill="1" applyBorder="1" applyAlignment="1" applyProtection="1">
      <x:protection locked="1" hidden="0"/>
    </x:xf>
    <x:xf numFmtId="170" fontId="3" fillId="0" borderId="29" applyNumberFormat="1" applyFill="1" applyBorder="1" applyAlignment="1" applyProtection="1">
      <x:protection locked="1" hidden="0"/>
    </x:xf>
    <x:xf numFmtId="0" fontId="13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0" fontId="3" fillId="0" borderId="32" applyNumberFormat="1" applyFill="1" applyBorder="1" applyAlignment="1" applyProtection="1">
      <x:protection locked="1" hidden="0"/>
    </x:xf>
    <x:xf numFmtId="0" fontId="6" fillId="0" borderId="33" applyNumberFormat="1" applyFill="1" applyBorder="1" applyAlignment="1" applyProtection="1">
      <x:protection locked="1" hidden="0"/>
    </x:xf>
    <x:xf numFmtId="0" fontId="3" fillId="0" borderId="34" applyNumberFormat="1" applyFill="1" applyBorder="1" applyAlignment="1" applyProtection="1">
      <x:protection locked="1" hidden="0"/>
    </x:xf>
    <x:xf numFmtId="170" fontId="3" fillId="0" borderId="35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4" fillId="0" borderId="19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3" fillId="0" borderId="21" applyNumberFormat="1" applyFill="1" applyBorder="1" applyAlignment="1" applyProtection="1">
      <x:protection locked="1" hidden="0"/>
    </x:xf>
    <x:xf numFmtId="170" fontId="6" fillId="0" borderId="28" applyNumberFormat="1" applyFill="1" applyBorder="1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167" fontId="3" fillId="0" borderId="0" applyNumberFormat="1" applyFill="1" applyBorder="0" applyAlignment="1" applyProtection="1">
      <x:protection locked="1" hidden="0"/>
    </x:xf>
    <x:xf numFmtId="168" fontId="3" fillId="0" borderId="0" applyNumberFormat="1" applyFill="1" applyBorder="0" applyAlignment="1" applyProtection="1">
      <x:protection locked="1" hidden="0"/>
    </x:xf>
    <x:xf numFmtId="9" fontId="3" fillId="0" borderId="0" applyNumberFormat="1" applyFill="1" applyBorder="0" applyAlignment="1" applyProtection="1">
      <x:protection locked="1" hidden="0"/>
    </x:xf>
    <x:xf numFmtId="169" fontId="3" fillId="0" borderId="0" applyNumberFormat="1" applyFill="1" applyBorder="0" applyAlignment="1" applyProtection="1">
      <x:protection locked="1" hidden="0"/>
    </x:xf>
    <x:xf numFmtId="168" fontId="6" fillId="0" borderId="0" applyNumberFormat="1" applyFill="1" applyBorder="0" applyAlignment="1" applyProtection="1">
      <x:protection locked="1" hidden="0"/>
    </x:xf>
    <x:xf numFmtId="164" fontId="6" fillId="0" borderId="0" applyNumberFormat="1" applyFill="1" applyBorder="0" applyAlignment="1" applyProtection="1">
      <x:protection locked="1" hidden="0"/>
    </x:xf>
    <x:xf numFmtId="0" fontId="11" fillId="3" borderId="0" applyNumberFormat="1" applyFill="0" applyBorder="0" applyAlignment="1" applyProtection="1">
      <x:protection locked="1" hidden="0"/>
    </x:xf>
    <x:xf numFmtId="0" fontId="11" fillId="4" borderId="0" applyNumberFormat="1" applyFill="0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</x:cellStyleXfs>
  <x:cellXfs count="123">
    <x:xf numFmtId="0" fontId="0" fillId="0" borderId="0" xfId="0" applyFont="1" applyAlignment="1"/>
    <x:xf numFmtId="0" fontId="1" fillId="0" borderId="0" xfId="0" applyFont="1"/>
    <x:xf numFmtId="164" fontId="3" fillId="0" borderId="0" xfId="0" applyNumberFormat="1" applyFont="1" applyAlignment="1">
      <x:alignment horizontal="left"/>
    </x:xf>
    <x:xf numFmtId="0" fontId="4" fillId="0" borderId="0" xfId="0" applyFont="1"/>
    <x:xf numFmtId="0" fontId="5" fillId="0" borderId="0" xfId="0" applyFont="1" applyAlignment="1">
      <x:alignment horizontal="left"/>
    </x:xf>
    <x:xf numFmtId="0" fontId="6" fillId="2" borderId="4" xfId="0" applyFont="1" applyFill="1" applyBorder="1" applyAlignment="1">
      <x:alignment horizontal="left"/>
    </x:xf>
    <x:xf numFmtId="0" fontId="9" fillId="2" borderId="22" xfId="0" applyFont="1" applyFill="1" applyBorder="1" applyAlignment="1">
      <x:alignment horizontal="center"/>
    </x:xf>
    <x:xf numFmtId="0" fontId="9" fillId="2" borderId="23" xfId="0" applyFont="1" applyFill="1" applyBorder="1" applyAlignment="1">
      <x:alignment horizontal="center"/>
    </x:xf>
    <x:xf numFmtId="0" fontId="3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 wrapText="1"/>
    </x:xf>
    <x:xf numFmtId="165" fontId="3" fillId="0" borderId="0" xfId="0" applyNumberFormat="1" applyFont="1" applyAlignment="1">
      <x:alignment horizontal="center" vertical="center" wrapText="1"/>
    </x:xf>
    <x:xf numFmtId="166" fontId="3" fillId="0" borderId="0" xfId="0" applyNumberFormat="1" applyFont="1" applyAlignment="1">
      <x:alignment horizontal="center" vertical="center"/>
    </x:xf>
    <x:xf numFmtId="164" fontId="3" fillId="0" borderId="0" xfId="0" applyNumberFormat="1" applyFont="1" applyAlignment="1">
      <x:alignment horizontal="center" vertical="center"/>
    </x:xf>
    <x:xf numFmtId="164" fontId="3" fillId="0" borderId="0" xfId="0" applyNumberFormat="1" applyFont="1" applyAlignment="1">
      <x:alignment horizontal="center" vertical="center" wrapText="1"/>
    </x:xf>
    <x:xf numFmtId="0" fontId="10" fillId="0" borderId="0" xfId="0" applyFont="1" applyAlignment="1">
      <x:alignment horizontal="center" vertical="center" wrapText="1"/>
    </x:xf>
    <x:xf numFmtId="9" fontId="2" fillId="0" borderId="0" xfId="0" applyNumberFormat="1" applyFont="1" applyAlignment="1"/>
    <x:xf numFmtId="0" fontId="2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2" fillId="0" borderId="0" xfId="0" applyFont="1" applyAlignment="1">
      <x:alignment vertical="center" wrapText="1"/>
    </x:xf>
    <x:xf numFmtId="0" fontId="2" fillId="0" borderId="0" xfId="0" applyFont="1" applyAlignment="1">
      <x:alignment vertical="center" wrapText="1"/>
    </x:xf>
    <x:xf numFmtId="0" fontId="6" fillId="0" borderId="0" xfId="0" applyFont="1" applyAlignment="1">
      <x:alignment horizontal="center" vertical="center" wrapText="1"/>
    </x:xf>
    <x:xf numFmtId="0" fontId="3" fillId="0" borderId="0" xfId="0" applyFont="1" applyAlignment="1">
      <x:alignment vertical="center"/>
    </x:xf>
    <x:xf numFmtId="167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vertical="center" wrapText="1"/>
    </x:xf>
    <x:xf numFmtId="168" fontId="3" fillId="0" borderId="0" xfId="0" applyNumberFormat="1" applyFont="1" applyAlignment="1">
      <x:alignment horizontal="center" vertical="center" wrapText="1"/>
    </x:xf>
    <x:xf numFmtId="0" fontId="3" fillId="0" borderId="0" xfId="0" applyFont="1" applyAlignment="1">
      <x:alignment horizontal="center"/>
    </x:xf>
    <x:xf numFmtId="0" fontId="3" fillId="0" borderId="0" xfId="0" applyFont="1" applyAlignment="1">
      <x:alignment horizontal="center"/>
    </x:xf>
    <x:xf numFmtId="9" fontId="3" fillId="0" borderId="0" xfId="0" applyNumberFormat="1" applyFont="1" applyAlignment="1">
      <x:alignment horizontal="center" vertical="center" wrapText="1"/>
    </x:xf>
    <x:xf numFmtId="0" fontId="3" fillId="0" borderId="0" xfId="0" applyFont="1" applyAlignment="1">
      <x:alignment vertical="center"/>
    </x:xf>
    <x:xf numFmtId="167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 vertical="center" wrapText="1"/>
    </x:xf>
    <x:xf numFmtId="169" fontId="3" fillId="0" borderId="0" xfId="0" applyNumberFormat="1" applyFont="1" applyAlignment="1">
      <x:alignment horizontal="center" vertical="center"/>
    </x:xf>
    <x:xf numFmtId="169" fontId="3" fillId="0" borderId="0" xfId="0" applyNumberFormat="1" applyFont="1" applyAlignment="1">
      <x:alignment horizontal="center" vertical="center" wrapText="1"/>
    </x:xf>
    <x:xf numFmtId="0" fontId="3" fillId="0" borderId="0" xfId="0" applyFont="1" applyAlignment="1">
      <x:alignment horizontal="center" wrapText="1"/>
    </x:xf>
    <x:xf numFmtId="0" fontId="3" fillId="0" borderId="0" xfId="0" applyFont="1" applyAlignment="1">
      <x:alignment horizontal="center" wrapText="1"/>
    </x:xf>
    <x:xf numFmtId="0" fontId="3" fillId="0" borderId="0" xfId="0" applyFont="1" applyAlignment="1">
      <x:alignment horizontal="center"/>
    </x:xf>
    <x:xf numFmtId="0" fontId="3" fillId="0" borderId="0" xfId="0" applyFont="1" applyAlignment="1">
      <x:alignment horizontal="center" wrapText="1"/>
    </x:xf>
    <x:xf numFmtId="0" fontId="3" fillId="0" borderId="0" xfId="0" applyFont="1"/>
    <x:xf numFmtId="168" fontId="3" fillId="0" borderId="0" xfId="0" applyNumberFormat="1" applyFont="1" applyAlignment="1">
      <x:alignment horizontal="center"/>
    </x:xf>
    <x:xf numFmtId="0" fontId="3" fillId="0" borderId="0" xfId="0" applyFont="1" applyAlignment="1">
      <x:alignment wrapText="1"/>
    </x:xf>
    <x:xf numFmtId="169" fontId="3" fillId="0" borderId="0" xfId="0" applyNumberFormat="1" applyFont="1" applyAlignment="1">
      <x:alignment horizontal="center" wrapText="1"/>
    </x:xf>
    <x:xf numFmtId="164" fontId="3" fillId="0" borderId="0" xfId="0" applyNumberFormat="1" applyFont="1" applyAlignment="1">
      <x:alignment horizontal="center" wrapText="1"/>
    </x:xf>
    <x:xf numFmtId="164" fontId="3" fillId="0" borderId="0" xfId="0" applyNumberFormat="1" applyFont="1" applyAlignment="1">
      <x:alignment horizontal="center"/>
    </x:xf>
    <x:xf numFmtId="0" fontId="6" fillId="0" borderId="0" xfId="0" applyFont="1" applyAlignment="1">
      <x:alignment horizontal="left" vertical="top" wrapText="1"/>
    </x:xf>
    <x:xf numFmtId="0" fontId="6" fillId="0" borderId="0" xfId="0" applyFont="1"/>
    <x:xf numFmtId="168" fontId="6" fillId="0" borderId="0" xfId="0" applyNumberFormat="1" applyFont="1"/>
    <x:xf numFmtId="164" fontId="6" fillId="0" borderId="0" xfId="0" applyNumberFormat="1" applyFont="1"/>
    <x:xf numFmtId="0" fontId="2" fillId="0" borderId="0" xfId="0" applyFont="1" applyAlignment="1"/>
    <x:xf numFmtId="0" fontId="11" fillId="3" borderId="0" xfId="0" applyFont="1" applyFill="1" applyAlignment="1">
      <x:alignment horizontal="center"/>
    </x:xf>
    <x:xf numFmtId="0" fontId="11" fillId="4" borderId="0" xfId="0" applyFont="1" applyFill="1" applyAlignment="1">
      <x:alignment horizontal="center"/>
    </x:xf>
    <x:xf numFmtId="165" fontId="2" fillId="0" borderId="0" xfId="0" applyNumberFormat="1" applyFont="1" applyAlignment="1"/>
    <x:xf numFmtId="0" fontId="6" fillId="2" borderId="1" xfId="0" applyFont="1" applyFill="1" applyBorder="1" applyAlignment="1">
      <x:alignment horizontal="left"/>
    </x:xf>
    <x:xf numFmtId="0" fontId="7" fillId="0" borderId="2" xfId="0" applyFont="1" applyBorder="1"/>
    <x:xf numFmtId="0" fontId="7" fillId="0" borderId="3" xfId="0" applyFont="1" applyBorder="1"/>
    <x:xf numFmtId="0" fontId="7" fillId="0" borderId="5" xfId="0" applyFont="1" applyBorder="1"/>
    <x:xf numFmtId="0" fontId="6" fillId="2" borderId="6" xfId="0" applyFont="1" applyFill="1" applyBorder="1" applyAlignment="1">
      <x:alignment horizontal="left"/>
    </x:xf>
    <x:xf numFmtId="0" fontId="7" fillId="0" borderId="7" xfId="0" applyFont="1" applyBorder="1"/>
    <x:xf numFmtId="0" fontId="7" fillId="0" borderId="8" xfId="0" applyFont="1" applyBorder="1"/>
    <x:xf numFmtId="0" fontId="7" fillId="0" borderId="9" xfId="0" applyFont="1" applyBorder="1"/>
    <x:xf numFmtId="0" fontId="3" fillId="2" borderId="10" xfId="0" applyFont="1" applyFill="1" applyBorder="1" applyAlignment="1">
      <x:alignment horizontal="left"/>
    </x:xf>
    <x:xf numFmtId="0" fontId="6" fillId="2" borderId="11" xfId="0" applyFont="1" applyFill="1" applyBorder="1" applyAlignment="1">
      <x:alignment horizontal="left"/>
    </x:xf>
    <x:xf numFmtId="0" fontId="7" fillId="0" borderId="12" xfId="0" applyFont="1" applyBorder="1"/>
    <x:xf numFmtId="0" fontId="7" fillId="0" borderId="13" xfId="0" applyFont="1" applyBorder="1"/>
    <x:xf numFmtId="0" fontId="6" fillId="2" borderId="14" xfId="0" applyFont="1" applyFill="1" applyBorder="1" applyAlignment="1">
      <x:alignment horizontal="left"/>
    </x:xf>
    <x:xf numFmtId="0" fontId="7" fillId="0" borderId="15" xfId="0" applyFont="1" applyBorder="1"/>
    <x:xf numFmtId="3" fontId="8" fillId="2" borderId="16" xfId="0" applyNumberFormat="1" applyFont="1" applyFill="1" applyBorder="1" applyAlignment="1">
      <x:alignment horizontal="center" wrapText="1"/>
    </x:xf>
    <x:xf numFmtId="0" fontId="7" fillId="0" borderId="17" xfId="0" applyFont="1" applyBorder="1"/>
    <x:xf numFmtId="0" fontId="7" fillId="0" borderId="18" xfId="0" applyFont="1" applyBorder="1"/>
    <x:xf numFmtId="0" fontId="6" fillId="0" borderId="19" xfId="0" applyFont="1" applyBorder="1" applyAlignment="1">
      <x:alignment horizontal="center"/>
    </x:xf>
    <x:xf numFmtId="0" fontId="7" fillId="0" borderId="20" xfId="0" applyFont="1" applyBorder="1"/>
    <x:xf numFmtId="0" fontId="7" fillId="0" borderId="21" xfId="0" applyFont="1" applyBorder="1"/>
    <x:xf numFmtId="0" fontId="9" fillId="0" borderId="19" xfId="0" applyFont="1" applyBorder="1" applyAlignment="1">
      <x:alignment horizontal="center"/>
    </x:xf>
    <x:xf numFmtId="0" fontId="9" fillId="0" borderId="19" xfId="0" applyFont="1" applyBorder="1" applyAlignment="1">
      <x:alignment horizontal="left"/>
    </x:xf>
    <x:xf numFmtId="169" fontId="3" fillId="0" borderId="0" xfId="0" applyNumberFormat="1" applyFont="1" applyAlignment="1">
      <x:alignment horizontal="center" vertical="center"/>
    </x:xf>
    <x:xf numFmtId="0" fontId="0" fillId="0" borderId="0" xfId="0" applyFont="1" applyAlignment="1"/>
    <x:xf numFmtId="169" fontId="3" fillId="0" borderId="0" xfId="0" applyNumberFormat="1" applyFont="1" applyAlignment="1">
      <x:alignment horizontal="center" vertical="center" wrapText="1"/>
    </x:xf>
    <x:xf numFmtId="0" fontId="6" fillId="0" borderId="19" xfId="0" applyFont="1" applyBorder="1" applyAlignment="1">
      <x:alignment horizontal="left"/>
    </x:xf>
    <x:xf numFmtId="0" fontId="3" fillId="0" borderId="19" xfId="0" applyFont="1" applyBorder="1" applyAlignment="1">
      <x:alignment horizontal="left"/>
    </x:xf>
    <x:xf numFmtId="0" fontId="3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 wrapText="1"/>
    </x:xf>
    <x:xf numFmtId="165" fontId="3" fillId="0" borderId="19" xfId="0" applyNumberFormat="1" applyFont="1" applyBorder="1" applyAlignment="1">
      <x:alignment horizontal="center"/>
    </x:xf>
    <x:xf numFmtId="0" fontId="3" fillId="0" borderId="19" xfId="0" applyFont="1" applyBorder="1" applyAlignment="1">
      <x:alignment horizontal="center"/>
    </x:xf>
    <x:xf numFmtId="0" fontId="2" fillId="0" borderId="17" xfId="0" applyFont="1" applyBorder="1" applyAlignment="1"/>
    <x:xf numFmtId="0" fontId="2" fillId="0" borderId="17" xfId="0" applyFont="1" applyBorder="1"/>
    <x:xf numFmtId="0" fontId="6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4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7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2" borderId="6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1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12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3" fontId="8" fillId="2" borderId="6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6" fillId="2" borderId="24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2" borderId="2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2" borderId="2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2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3" fillId="0" borderId="2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3" fillId="0" borderId="2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0" fontId="3" fillId="0" borderId="2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3" fillId="0" borderId="2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3" fillId="0" borderId="30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3" fillId="0" borderId="3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6" fillId="0" borderId="33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6" fillId="0" borderId="3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32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3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0" fontId="3" fillId="0" borderId="3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4" fillId="0" borderId="1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0" borderId="2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0" borderId="2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0" borderId="1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2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3" fillId="0" borderId="2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0" fontId="6" fillId="0" borderId="2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1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3">
    <x:tableStyle name="info-style" pivot="0" count="4" xr9:uid="{00000000-0011-0000-FFFF-FFFF00000000}">
      <x:tableStyleElement type="wholeTable" size="0" dxfId="11"/>
      <x:tableStyleElement type="headerRow" dxfId="10"/>
      <x:tableStyleElement type="firstRowStripe" dxfId="9"/>
      <x:tableStyleElement type="secondRowStripe" dxfId="8"/>
    </x:tableStyle>
    <x:tableStyle name="forms_productos-style" pivot="0" count="4" xr9:uid="{00000000-0011-0000-FFFF-FFFF01000000}">
      <x:tableStyleElement type="wholeTable" size="0" dxfId="7"/>
      <x:tableStyleElement type="headerRow" dxfId="6"/>
      <x:tableStyleElement type="firstRowStripe" dxfId="5"/>
      <x:tableStyleElement type="secondRowStripe" dxfId="4"/>
    </x:tableStyle>
    <x:tableStyle name="forms-style" pivot="0" count="4" xr9:uid="{00000000-0011-0000-FFFF-FFFF02000000}">
      <x:tableStyleElement type="wholeTable" size="0" dxfId="3"/>
      <x:tableStyleElement type="headerRow" dxfId="2"/>
      <x:tableStyleElement type="firstRowStripe" dxfId="1"/>
      <x:tableStyleElement type="secondRowStripe" dxfId="0"/>
    </x:tableStyle>
  </x:tableStyle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0</xdr:row>
      <xdr:rowOff>0</xdr:rowOff>
    </xdr:from>
    <xdr:ext cx="1571625" cy="895350"/>
    <xdr:pic>
      <xdr:nvPicPr>
        <xdr:cNvPr id="1" name="image1.pn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1571625" cy="89535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  <x:pageSetUpPr fitToPage="1"/>
  </x:sheetPr>
  <x:dimension ref="B1:O1000"/>
  <x:sheetViews>
    <x:sheetView tabSelected="1" workbookViewId="0">
      <x:selection activeCell="G4" sqref="G4"/>
    </x:sheetView>
  </x:sheetViews>
  <x:sheetFormatPr baseColWidth="10" defaultColWidth="12.567768" defaultRowHeight="15" customHeight="1"/>
  <x:cols>
    <x:col min="1" max="1" width="2.726562" style="0" customWidth="1"/>
    <x:col min="2" max="3" width="5" style="0" customWidth="1"/>
    <x:col min="4" max="4" width="13.632812" style="0" customWidth="1"/>
    <x:col min="5" max="5" width="32.726562" style="0" customWidth="1"/>
    <x:col min="6" max="6" width="18" style="0" customWidth="1"/>
    <x:col min="7" max="7" width="25.453125" style="0" customWidth="1"/>
    <x:col min="8" max="8" width="19" style="0" customWidth="1"/>
    <x:col min="9" max="9" width="5.632812" style="0" customWidth="1"/>
    <x:col min="10" max="10" width="9.632812" style="0" customWidth="1"/>
    <x:col min="11" max="11" width="6.726562" style="0" customWidth="1"/>
    <x:col min="12" max="12" width="14.90625" style="0" customWidth="1"/>
    <x:col min="13" max="13" width="18" style="0" customWidth="1"/>
    <x:col min="14" max="14" width="18.90625" style="0" customWidth="1"/>
    <x:col min="15" max="26" width="10.632812" style="0" customWidth="1"/>
  </x:cols>
  <x:sheetData>
    <x:row r="1" spans="1:26" ht="4.5" customHeight="1">
      <x:c r="M1" s="1"/>
    </x:row>
    <x:row r="2" spans="1:26" ht="12.75" customHeight="1">
      <x:c r="L2" s="50"/>
    </x:row>
    <x:row r="3" spans="1:26" ht="12.75" customHeight="1">
      <x:c r="L3" s="50"/>
    </x:row>
    <x:row r="4" spans="1:26" ht="12.75" customHeight="1"/>
    <x:row r="5" spans="1:26" ht="12.5" customHeight="1">
      <x:c r="L5" s="2"/>
    </x:row>
    <x:row r="6" spans="1:26" ht="19.5" customHeight="1">
      <x:c r="I6" s="3">
        <x:f>"ORDEN DE COMPRA No: "</x:f>
      </x:c>
      <x:c r="J6" s="3"/>
      <x:c r="K6" s="3"/>
      <x:c r="L6" s="3"/>
      <x:c r="M6" s="4">
        <x:f>Instancia!B2</x:f>
      </x:c>
    </x:row>
    <x:row r="7" spans="1:26" ht="6.75" customHeight="1"/>
    <x:row r="8" spans="1:26" ht="12.75" customHeight="1">
      <x:c r="B8" s="87">
        <x:f>"Proveedor: " &amp; Instancia!L2</x:f>
      </x:c>
      <x:c r="C8" s="55"/>
      <x:c r="D8" s="55"/>
      <x:c r="E8" s="55"/>
      <x:c r="F8" s="55"/>
      <x:c r="G8" s="55"/>
      <x:c r="H8" s="88"/>
      <x:c r="J8" s="87" t="s">
        <x:v>0</x:v>
      </x:c>
      <x:c r="K8" s="55"/>
      <x:c r="L8" s="55"/>
      <x:c r="M8" s="55"/>
      <x:c r="N8" s="89"/>
    </x:row>
    <x:row r="9" spans="1:26" ht="12.75" customHeight="1">
      <x:c r="B9" s="90">
        <x:f>"NIT/CC: " &amp; Instancia!M2</x:f>
      </x:c>
      <x:c r="C9" s="91"/>
      <x:c r="D9" s="91"/>
      <x:c r="E9" s="91"/>
      <x:c r="F9" s="91"/>
      <x:c r="G9" s="91"/>
      <x:c r="H9" s="60"/>
      <x:c r="J9" s="90" t="s">
        <x:v>1</x:v>
      </x:c>
      <x:c r="K9" s="91"/>
      <x:c r="L9" s="91"/>
      <x:c r="M9" s="91"/>
      <x:c r="N9" s="60"/>
    </x:row>
    <x:row r="10" spans="1:26" ht="12.75" customHeight="1">
      <x:c r="B10" s="90">
        <x:f>"Ciudad: " &amp; Instancia!N2</x:f>
      </x:c>
      <x:c r="C10" s="91"/>
      <x:c r="D10" s="91"/>
      <x:c r="E10" s="91"/>
      <x:c r="F10" s="91"/>
      <x:c r="G10" s="91"/>
      <x:c r="H10" s="60"/>
      <x:c r="J10" s="90" t="s">
        <x:v>2</x:v>
      </x:c>
      <x:c r="K10" s="91"/>
      <x:c r="L10" s="91"/>
      <x:c r="M10" s="91"/>
      <x:c r="N10" s="60"/>
    </x:row>
    <x:row r="11" spans="1:26" ht="12.75" customHeight="1">
      <x:c r="B11" s="90">
        <x:f>"Dirección: " &amp; Instancia!O2</x:f>
      </x:c>
      <x:c r="C11" s="91"/>
      <x:c r="D11" s="91"/>
      <x:c r="E11" s="91"/>
      <x:c r="F11" s="91"/>
      <x:c r="G11" s="91"/>
      <x:c r="H11" s="60"/>
      <x:c r="J11" s="90" t="s">
        <x:v>3</x:v>
      </x:c>
      <x:c r="K11" s="91"/>
      <x:c r="L11" s="91"/>
      <x:c r="M11" s="91"/>
      <x:c r="N11" s="60"/>
    </x:row>
    <x:row r="12" spans="1:26" ht="12.75" customHeight="1" hidden="1">
      <x:c r="B12" s="90" t="s">
        <x:v>4</x:v>
      </x:c>
      <x:c r="C12" s="91"/>
      <x:c r="D12" s="91"/>
      <x:c r="E12" s="91"/>
      <x:c r="F12" s="91"/>
      <x:c r="G12" s="91"/>
      <x:c r="H12" s="60"/>
      <x:c r="J12" s="90" t="s">
        <x:v>5</x:v>
      </x:c>
      <x:c r="K12" s="91"/>
      <x:c r="L12" s="91"/>
      <x:c r="M12" s="92" t="s">
        <x:v>6</x:v>
      </x:c>
      <x:c r="N12" s="60"/>
    </x:row>
    <x:row r="13" spans="1:26" ht="22.5" customHeight="1">
      <x:c r="B13" s="93">
        <x:f>"Contacto: " &amp; Instancia!C2</x:f>
      </x:c>
      <x:c r="C13" s="64"/>
      <x:c r="D13" s="64"/>
      <x:c r="E13" s="64"/>
      <x:c r="F13" s="94"/>
      <x:c r="G13" s="64"/>
      <x:c r="H13" s="67"/>
      <x:c r="J13" s="95" t="s">
        <x:v>7</x:v>
      </x:c>
      <x:c r="K13" s="91"/>
      <x:c r="L13" s="91"/>
      <x:c r="M13" s="91"/>
      <x:c r="N13" s="60"/>
    </x:row>
    <x:row r="14" spans="1:26" ht="12.75" customHeight="1">
      <x:c r="B14" s="71" t="s">
        <x:v>8</x:v>
      </x:c>
      <x:c r="C14" s="72"/>
      <x:c r="D14" s="73"/>
      <x:c r="E14" s="71" t="s">
        <x:v>9</x:v>
      </x:c>
      <x:c r="F14" s="73"/>
      <x:c r="G14" s="71" t="s">
        <x:v>10</x:v>
      </x:c>
      <x:c r="H14" s="72"/>
      <x:c r="I14" s="73"/>
      <x:c r="J14" s="79">
        <x:f>"Entregar a Alterno: " &amp; Instancia!H2</x:f>
      </x:c>
      <x:c r="K14" s="72"/>
      <x:c r="L14" s="72"/>
      <x:c r="M14" s="72"/>
      <x:c r="N14" s="73"/>
    </x:row>
    <x:row r="15" spans="1:26" ht="12.75" customHeight="1">
      <x:c r="B15" s="83">
        <x:f>Instancia!E2</x:f>
      </x:c>
      <x:c r="C15" s="72"/>
      <x:c r="D15" s="73"/>
      <x:c r="E15" s="84">
        <x:f>Instancia!F2</x:f>
      </x:c>
      <x:c r="F15" s="73"/>
      <x:c r="G15" s="84">
        <x:f>Instancia!P2</x:f>
      </x:c>
      <x:c r="H15" s="72"/>
      <x:c r="I15" s="73"/>
      <x:c r="J15" s="79">
        <x:f>"Entregar a: " &amp; Instancia!G2</x:f>
      </x:c>
      <x:c r="K15" s="72"/>
      <x:c r="L15" s="72"/>
      <x:c r="M15" s="72"/>
      <x:c r="N15" s="73"/>
    </x:row>
    <x:row r="16" spans="1:26" ht="12.75" customHeight="1">
      <x:c r="B16" s="80">
        <x:f>"Condiciones de pago: " &amp; Instancia!I2</x:f>
      </x:c>
      <x:c r="C16" s="72"/>
      <x:c r="D16" s="72"/>
      <x:c r="E16" s="72"/>
      <x:c r="F16" s="72"/>
      <x:c r="G16" s="72"/>
      <x:c r="H16" s="72"/>
      <x:c r="I16" s="72"/>
      <x:c r="J16" s="72"/>
      <x:c r="K16" s="72"/>
      <x:c r="L16" s="72"/>
      <x:c r="M16" s="72"/>
      <x:c r="N16" s="73"/>
    </x:row>
    <x:row r="17" spans="1:26" ht="22.5" customHeight="1"/>
    <x:row r="18" spans="1:26" ht="24.75" customHeight="1">
      <x:c r="B18" s="96" t="s">
        <x:v>11</x:v>
      </x:c>
      <x:c r="C18" s="97"/>
      <x:c r="D18" s="97" t="s">
        <x:v>12</x:v>
      </x:c>
      <x:c r="E18" s="97" t="s">
        <x:v>13</x:v>
      </x:c>
      <x:c r="F18" s="97" t="s">
        <x:v>14</x:v>
      </x:c>
      <x:c r="G18" s="97" t="s">
        <x:v>15</x:v>
      </x:c>
      <x:c r="H18" s="97" t="s">
        <x:v>16</x:v>
      </x:c>
      <x:c r="I18" s="97" t="s">
        <x:v>17</x:v>
      </x:c>
      <x:c r="J18" s="97" t="s">
        <x:v>18</x:v>
      </x:c>
      <x:c r="K18" s="97" t="s">
        <x:v>19</x:v>
      </x:c>
      <x:c r="L18" s="97" t="s">
        <x:v>20</x:v>
      </x:c>
      <x:c r="M18" s="97" t="s">
        <x:v>21</x:v>
      </x:c>
      <x:c r="N18" s="98" t="s">
        <x:v>22</x:v>
      </x:c>
    </x:row>
    <x:row r="19" spans="1:26" ht="112.5" customHeight="1">
      <x:c r="B19" s="99">
        <x:v>1</x:v>
      </x:c>
      <x:c r="C19" s="100"/>
      <x:c r="D19" s="101" t="s">
        <x:v>42</x:v>
      </x:c>
      <x:c r="E19" s="100" t="s">
        <x:v>42</x:v>
      </x:c>
      <x:c r="F19" s="100" t="s">
        <x:v>42</x:v>
      </x:c>
      <x:c r="G19" s="102" t="s">
        <x:v>43</x:v>
      </x:c>
      <x:c r="H19" s="103" t="s">
        <x:v>42</x:v>
      </x:c>
      <x:c r="I19" s="100">
        <x:v>19</x:v>
      </x:c>
      <x:c r="J19" s="100">
        <x:v>1</x:v>
      </x:c>
      <x:c r="K19" s="100" t="s">
        <x:v>47</x:v>
      </x:c>
      <x:c r="L19" s="104">
        <x:v>434</x:v>
      </x:c>
      <x:c r="M19" s="100">
        <x:v>12</x:v>
      </x:c>
      <x:c r="N19" s="105">
        <x:f>J19*L19*(1-(M19/100))*(1+(I19/100))</x:f>
      </x:c>
    </x:row>
    <x:row r="20" spans="1:26" ht="50" customHeight="1">
      <x:c r="B20" s="106" t="s">
        <x:v>48</x:v>
      </x:c>
      <x:c r="C20" s="107"/>
      <x:c r="D20" s="107"/>
      <x:c r="E20" s="107"/>
      <x:c r="F20" s="107"/>
      <x:c r="G20" s="108"/>
      <x:c r="H20" s="109" t="s">
        <x:v>49</x:v>
      </x:c>
      <x:c r="I20" s="107"/>
      <x:c r="J20" s="108"/>
      <x:c r="K20" s="110" t="s">
        <x:v>50</x:v>
      </x:c>
      <x:c r="L20" s="111"/>
      <x:c r="M20" s="112" t="s">
        <x:v>51</x:v>
      </x:c>
      <x:c r="N20" s="113">
        <x:v>381.92</x:v>
      </x:c>
    </x:row>
    <x:row r="21" spans="1:26" ht="15" customHeight="1">
      <x:c r="B21" s="8"/>
      <x:c r="C21" s="8"/>
      <x:c r="D21" s="8"/>
      <x:c r="E21" s="17"/>
      <x:c r="F21" s="17"/>
      <x:c r="G21" s="17"/>
      <x:c r="H21" s="17"/>
      <x:c r="I21" s="17"/>
      <x:c r="J21" s="17"/>
      <x:c r="K21" s="114" t="s">
        <x:v>52</x:v>
      </x:c>
      <x:c r="L21" s="115"/>
      <x:c r="M21" s="116"/>
      <x:c r="N21" s="116"/>
    </x:row>
    <x:row r="22" spans="1:26" ht="15" customHeight="1">
      <x:c r="B22" s="8"/>
      <x:c r="C22" s="8"/>
      <x:c r="D22" s="8"/>
      <x:c r="E22" s="12"/>
      <x:c r="F22" s="8"/>
      <x:c r="G22" s="8"/>
      <x:c r="H22" s="8"/>
      <x:c r="I22" s="8"/>
      <x:c r="J22" s="8"/>
      <x:c r="K22" s="117" t="s">
        <x:v>53</x:v>
      </x:c>
      <x:c r="L22" s="118"/>
      <x:c r="M22" s="102" t="s">
        <x:v>51</x:v>
      </x:c>
      <x:c r="N22" s="119">
        <x:v>72.5648</x:v>
      </x:c>
    </x:row>
    <x:row r="23" spans="1:26" ht="15" customHeight="1">
      <x:c r="B23" s="8"/>
      <x:c r="C23" s="8"/>
      <x:c r="D23" s="8"/>
      <x:c r="E23" s="12"/>
      <x:c r="F23" s="8"/>
      <x:c r="G23" s="12"/>
      <x:c r="H23" s="12"/>
      <x:c r="I23" s="8"/>
      <x:c r="J23" s="8"/>
      <x:c r="K23" s="117" t="s">
        <x:v>54</x:v>
      </x:c>
      <x:c r="L23" s="118"/>
      <x:c r="M23" s="102" t="s">
        <x:v>51</x:v>
      </x:c>
      <x:c r="N23" s="120">
        <x:v>454.4848</x:v>
      </x:c>
      <x:c r="O23" s="18"/>
    </x:row>
    <x:row r="24" spans="1:26" ht="112.5" customHeight="1">
      <x:c r="B24" s="8"/>
      <x:c r="C24" s="8"/>
      <x:c r="D24" s="8"/>
      <x:c r="E24" s="12"/>
      <x:c r="F24" s="19"/>
      <x:c r="G24" s="19"/>
      <x:c r="H24" s="19"/>
      <x:c r="I24" s="19"/>
      <x:c r="J24" s="19"/>
      <x:c r="K24" s="19"/>
      <x:c r="L24" s="19"/>
      <x:c r="M24" s="21"/>
      <x:c r="N24" s="21"/>
    </x:row>
    <x:row r="25" spans="1:26" ht="112.5" customHeight="1">
      <x:c r="B25" s="8"/>
      <x:c r="C25" s="8"/>
      <x:c r="D25" s="8"/>
      <x:c r="E25" s="12"/>
      <x:c r="F25" s="8"/>
      <x:c r="G25" s="23"/>
      <x:c r="H25" s="12"/>
      <x:c r="I25" s="8"/>
      <x:c r="J25" s="8"/>
      <x:c r="K25" s="24"/>
      <x:c r="L25" s="25"/>
      <x:c r="M25" s="26"/>
      <x:c r="N25" s="27"/>
    </x:row>
    <x:row r="26" spans="1:26" ht="112.5" customHeight="1">
      <x:c r="B26" s="28"/>
      <x:c r="C26" s="28"/>
      <x:c r="D26" s="8"/>
      <x:c r="E26" s="12"/>
      <x:c r="F26" s="8"/>
      <x:c r="G26" s="12"/>
      <x:c r="H26" s="12"/>
      <x:c r="I26" s="8"/>
      <x:c r="J26" s="8"/>
      <x:c r="K26" s="24"/>
      <x:c r="L26" s="25"/>
      <x:c r="M26" s="26"/>
      <x:c r="N26" s="30"/>
    </x:row>
    <x:row r="27" spans="1:26" ht="112.5" customHeight="1">
      <x:c r="B27" s="28"/>
      <x:c r="C27" s="28"/>
      <x:c r="D27" s="8"/>
      <x:c r="E27" s="12"/>
      <x:c r="F27" s="8"/>
      <x:c r="G27" s="12"/>
      <x:c r="H27" s="12"/>
      <x:c r="I27" s="8"/>
      <x:c r="J27" s="8"/>
      <x:c r="K27" s="24"/>
      <x:c r="L27" s="25"/>
      <x:c r="M27" s="26"/>
      <x:c r="N27" s="30"/>
    </x:row>
    <x:row r="28" spans="1:26" ht="112.5" customHeight="1" hidden="1">
      <x:c r="B28" s="28"/>
      <x:c r="C28" s="28"/>
      <x:c r="D28" s="8"/>
      <x:c r="E28" s="12"/>
      <x:c r="F28" s="8"/>
      <x:c r="G28" s="12"/>
      <x:c r="H28" s="12"/>
      <x:c r="I28" s="8"/>
      <x:c r="J28" s="8"/>
      <x:c r="K28" s="24"/>
      <x:c r="L28" s="34"/>
      <x:c r="M28" s="26"/>
      <x:c r="N28" s="35"/>
    </x:row>
    <x:row r="29" spans="1:26" ht="112.5" customHeight="1" hidden="1">
      <x:c r="B29" s="28"/>
      <x:c r="C29" s="28"/>
      <x:c r="K29" s="24"/>
      <x:c r="M29" s="26"/>
    </x:row>
    <x:row r="30" spans="1:26" ht="112.5" customHeight="1">
      <x:c r="B30" s="28"/>
      <x:c r="C30" s="28"/>
      <x:c r="D30" s="8"/>
      <x:c r="E30" s="12"/>
      <x:c r="F30" s="8"/>
      <x:c r="G30" s="12"/>
      <x:c r="H30" s="12"/>
      <x:c r="I30" s="8"/>
      <x:c r="J30" s="8"/>
      <x:c r="K30" s="24"/>
      <x:c r="L30" s="25"/>
      <x:c r="M30" s="26"/>
      <x:c r="N30" s="35"/>
    </x:row>
    <x:row r="31" spans="1:26" ht="112.5" customHeight="1">
      <x:c r="B31" s="28"/>
      <x:c r="C31" s="28"/>
      <x:c r="D31" s="8"/>
      <x:c r="E31" s="12"/>
      <x:c r="F31" s="8"/>
      <x:c r="G31" s="12"/>
      <x:c r="H31" s="12"/>
      <x:c r="I31" s="8"/>
      <x:c r="J31" s="8"/>
      <x:c r="K31" s="24"/>
      <x:c r="L31" s="25"/>
      <x:c r="M31" s="26"/>
      <x:c r="N31" s="35"/>
    </x:row>
    <x:row r="32" spans="1:26" ht="112.5" customHeight="1">
      <x:c r="B32" s="28"/>
      <x:c r="C32" s="28"/>
      <x:c r="D32" s="8"/>
      <x:c r="E32" s="12"/>
      <x:c r="F32" s="8"/>
      <x:c r="G32" s="12"/>
      <x:c r="H32" s="12"/>
      <x:c r="I32" s="8"/>
      <x:c r="J32" s="8"/>
      <x:c r="K32" s="24"/>
      <x:c r="L32" s="34"/>
      <x:c r="M32" s="26"/>
      <x:c r="N32" s="35"/>
    </x:row>
    <x:row r="33" spans="1:26" ht="112.5" customHeight="1">
      <x:c r="B33" s="36"/>
      <x:c r="C33" s="36"/>
      <x:c r="D33" s="8"/>
      <x:c r="E33" s="12"/>
      <x:c r="F33" s="8"/>
      <x:c r="G33" s="12"/>
      <x:c r="H33" s="12"/>
      <x:c r="I33" s="8"/>
      <x:c r="J33" s="8"/>
      <x:c r="K33" s="24"/>
      <x:c r="L33" s="34"/>
      <x:c r="M33" s="26"/>
      <x:c r="N33" s="35"/>
    </x:row>
    <x:row r="34" spans="1:26" ht="112.5" customHeight="1">
      <x:c r="B34" s="28"/>
      <x:c r="C34" s="28"/>
      <x:c r="D34" s="8"/>
      <x:c r="E34" s="12"/>
      <x:c r="F34" s="8"/>
      <x:c r="G34" s="12"/>
      <x:c r="H34" s="12"/>
      <x:c r="I34" s="8"/>
      <x:c r="J34" s="8"/>
      <x:c r="K34" s="24"/>
      <x:c r="L34" s="34"/>
      <x:c r="M34" s="26"/>
      <x:c r="N34" s="35"/>
    </x:row>
    <x:row r="35" spans="1:26" ht="112.5" customHeight="1">
      <x:c r="B35" s="36"/>
      <x:c r="C35" s="36"/>
      <x:c r="D35" s="8"/>
      <x:c r="E35" s="8"/>
      <x:c r="F35" s="8"/>
      <x:c r="G35" s="12"/>
      <x:c r="H35" s="12"/>
      <x:c r="I35" s="8"/>
      <x:c r="J35" s="8"/>
      <x:c r="K35" s="24"/>
      <x:c r="L35" s="34"/>
      <x:c r="M35" s="26"/>
      <x:c r="N35" s="35"/>
    </x:row>
    <x:row r="36" spans="1:26" ht="112.5" customHeight="1">
      <x:c r="B36" s="28"/>
      <x:c r="C36" s="28"/>
      <x:c r="D36" s="8"/>
      <x:c r="E36" s="12"/>
      <x:c r="F36" s="8"/>
      <x:c r="G36" s="12"/>
      <x:c r="H36" s="12"/>
      <x:c r="I36" s="8"/>
      <x:c r="J36" s="8"/>
      <x:c r="K36" s="24"/>
      <x:c r="L36" s="34"/>
      <x:c r="M36" s="26"/>
      <x:c r="N36" s="35"/>
    </x:row>
    <x:row r="37" spans="1:26" ht="112.5" customHeight="1">
      <x:c r="B37" s="28"/>
      <x:c r="C37" s="28"/>
      <x:c r="D37" s="28"/>
      <x:c r="E37" s="36"/>
      <x:c r="F37" s="28"/>
      <x:c r="G37" s="36"/>
      <x:c r="H37" s="36"/>
      <x:c r="I37" s="28"/>
      <x:c r="J37" s="28"/>
      <x:c r="K37" s="40"/>
      <x:c r="L37" s="41"/>
      <x:c r="M37" s="42"/>
      <x:c r="N37" s="43"/>
    </x:row>
    <x:row r="38" spans="1:26" ht="112.5" customHeight="1">
      <x:c r="B38" s="28"/>
      <x:c r="C38" s="28"/>
      <x:c r="D38" s="28"/>
      <x:c r="E38" s="28"/>
      <x:c r="F38" s="28"/>
      <x:c r="G38" s="36"/>
      <x:c r="H38" s="36"/>
      <x:c r="I38" s="28"/>
      <x:c r="J38" s="28"/>
      <x:c r="K38" s="40"/>
      <x:c r="L38" s="41"/>
      <x:c r="M38" s="42"/>
      <x:c r="N38" s="43"/>
    </x:row>
    <x:row r="39" spans="1:26" ht="112.5" customHeight="1">
      <x:c r="B39" s="28"/>
      <x:c r="C39" s="28"/>
      <x:c r="D39" s="28"/>
      <x:c r="E39" s="28"/>
      <x:c r="F39" s="28"/>
      <x:c r="G39" s="36"/>
      <x:c r="H39" s="36"/>
      <x:c r="I39" s="28"/>
      <x:c r="J39" s="28"/>
      <x:c r="K39" s="40"/>
      <x:c r="L39" s="41"/>
      <x:c r="M39" s="42"/>
      <x:c r="N39" s="44"/>
    </x:row>
    <x:row r="40" spans="1:26" ht="112.5" customHeight="1">
      <x:c r="B40" s="28"/>
      <x:c r="C40" s="28"/>
      <x:c r="D40" s="28"/>
      <x:c r="E40" s="28"/>
      <x:c r="F40" s="28"/>
      <x:c r="G40" s="36"/>
      <x:c r="H40" s="36"/>
      <x:c r="I40" s="28"/>
      <x:c r="J40" s="28"/>
      <x:c r="K40" s="40"/>
      <x:c r="L40" s="41"/>
      <x:c r="M40" s="40"/>
      <x:c r="N40" s="45"/>
    </x:row>
    <x:row r="41" spans="1:26" ht="112.5" customHeight="1">
      <x:c r="B41" s="28"/>
      <x:c r="C41" s="28"/>
      <x:c r="D41" s="28"/>
      <x:c r="E41" s="28"/>
      <x:c r="F41" s="28"/>
      <x:c r="G41" s="36"/>
      <x:c r="H41" s="36"/>
      <x:c r="I41" s="28"/>
      <x:c r="J41" s="28"/>
      <x:c r="K41" s="40"/>
      <x:c r="L41" s="41"/>
      <x:c r="M41" s="40"/>
      <x:c r="N41" s="45"/>
    </x:row>
    <x:row r="42" spans="1:26" ht="112.5" customHeight="1">
      <x:c r="B42" s="40"/>
      <x:c r="C42" s="40"/>
      <x:c r="D42" s="40"/>
      <x:c r="E42" s="40"/>
      <x:c r="F42" s="40"/>
      <x:c r="G42" s="40"/>
      <x:c r="H42" s="40"/>
      <x:c r="I42" s="40"/>
      <x:c r="J42" s="40"/>
      <x:c r="K42" s="40"/>
      <x:c r="L42" s="40"/>
      <x:c r="M42" s="40"/>
      <x:c r="N42" s="40"/>
    </x:row>
    <x:row r="43" spans="1:26" ht="112.5" customHeight="1">
      <x:c r="B43" s="46"/>
      <x:c r="C43" s="46"/>
      <x:c r="D43" s="46"/>
      <x:c r="E43" s="46"/>
      <x:c r="F43" s="46"/>
      <x:c r="G43" s="46"/>
      <x:c r="H43" s="40"/>
      <x:c r="I43" s="40"/>
      <x:c r="J43" s="40"/>
      <x:c r="K43" s="40"/>
      <x:c r="L43" s="47"/>
      <x:c r="M43" s="47"/>
      <x:c r="N43" s="48"/>
    </x:row>
    <x:row r="44" spans="1:26" ht="112.5" customHeight="1">
      <x:c r="B44" s="46"/>
      <x:c r="C44" s="46"/>
      <x:c r="D44" s="46"/>
      <x:c r="E44" s="46"/>
      <x:c r="F44" s="46"/>
      <x:c r="G44" s="46"/>
      <x:c r="H44" s="40"/>
      <x:c r="K44" s="40"/>
      <x:c r="L44" s="47"/>
      <x:c r="M44" s="47"/>
      <x:c r="N44" s="49"/>
    </x:row>
    <x:row r="45" spans="1:26" ht="112.5" customHeight="1">
      <x:c r="B45" s="46"/>
      <x:c r="C45" s="46"/>
      <x:c r="D45" s="46"/>
      <x:c r="E45" s="46"/>
      <x:c r="F45" s="46"/>
      <x:c r="G45" s="46"/>
      <x:c r="H45" s="40"/>
      <x:c r="I45" s="40"/>
      <x:c r="J45" s="40"/>
      <x:c r="K45" s="40"/>
      <x:c r="L45" s="47"/>
      <x:c r="M45" s="47"/>
      <x:c r="N45" s="49"/>
    </x:row>
    <x:row r="46" spans="1:26" ht="112.5" customHeight="1">
      <x:c r="B46" s="46"/>
      <x:c r="C46" s="46"/>
      <x:c r="D46" s="46"/>
      <x:c r="E46" s="46"/>
      <x:c r="F46" s="46"/>
      <x:c r="G46" s="46"/>
      <x:c r="H46" s="46"/>
      <x:c r="I46" s="46"/>
      <x:c r="J46" s="46"/>
      <x:c r="K46" s="46"/>
      <x:c r="L46" s="47"/>
      <x:c r="M46" s="47"/>
      <x:c r="N46" s="48"/>
    </x:row>
    <x:row r="47" spans="1:26" ht="112.5" customHeight="1">
      <x:c r="B47" s="46"/>
      <x:c r="C47" s="46"/>
      <x:c r="D47" s="46"/>
      <x:c r="E47" s="46"/>
      <x:c r="F47" s="46"/>
      <x:c r="G47" s="46"/>
      <x:c r="H47" s="46"/>
      <x:c r="I47" s="46"/>
      <x:c r="J47" s="46"/>
      <x:c r="K47" s="46"/>
      <x:c r="L47" s="47"/>
      <x:c r="M47" s="47"/>
      <x:c r="N47" s="47"/>
    </x:row>
    <x:row r="48" ht="112.5" customHeight="1"/>
    <x:row r="49" ht="112.5" customHeight="1"/>
    <x:row r="50" ht="112.5" customHeight="1"/>
    <x:row r="51" ht="112.5" customHeight="1"/>
    <x:row r="52" ht="112.5" customHeight="1"/>
    <x:row r="53" ht="112.5" customHeight="1"/>
    <x:row r="54" ht="112.5" customHeight="1"/>
    <x:row r="55" ht="112.5" customHeight="1"/>
    <x:row r="56" ht="112.5" customHeight="1"/>
    <x:row r="57" ht="112.5" customHeight="1"/>
    <x:row r="58" ht="112.5" customHeight="1"/>
    <x:row r="59" ht="112.5" customHeight="1"/>
    <x:row r="60" ht="112.5" customHeight="1"/>
    <x:row r="61" ht="112.5" customHeight="1"/>
    <x:row r="62" ht="112.5" customHeight="1"/>
    <x:row r="63" ht="112.5" customHeight="1"/>
    <x:row r="64" ht="112.5" customHeight="1"/>
    <x:row r="65" ht="112.5" customHeight="1"/>
    <x:row r="66" ht="112.5" customHeight="1"/>
    <x:row r="67" ht="112.5" customHeight="1"/>
    <x:row r="68" ht="112.5" customHeight="1"/>
    <x:row r="69" ht="112.5" customHeight="1"/>
    <x:row r="70" ht="112.5" customHeight="1"/>
    <x:row r="71" ht="112.5" customHeight="1"/>
    <x:row r="72" ht="112.5" customHeight="1"/>
    <x:row r="73" ht="112.5" customHeight="1"/>
    <x:row r="74" ht="112.5" customHeight="1"/>
    <x:row r="75" ht="112.5" customHeight="1"/>
    <x:row r="76" ht="112.5" customHeight="1"/>
    <x:row r="77" ht="112.5" customHeight="1"/>
    <x:row r="78" ht="112.5" customHeight="1"/>
    <x:row r="79" ht="112.5" customHeight="1"/>
    <x:row r="80" ht="112.5" customHeight="1"/>
    <x:row r="81" ht="112.5" customHeight="1"/>
    <x:row r="82" ht="112.5" customHeight="1"/>
    <x:row r="83" ht="112.5" customHeight="1"/>
    <x:row r="84" ht="112.5" customHeight="1"/>
    <x:row r="85" ht="112.5" customHeight="1"/>
    <x:row r="86" ht="112.5" customHeight="1"/>
    <x:row r="87" ht="112.5" customHeight="1"/>
    <x:row r="88" ht="112.5" customHeight="1"/>
    <x:row r="89" ht="112.5" customHeight="1"/>
    <x:row r="90" ht="112.5" customHeight="1"/>
    <x:row r="91" ht="112.5" customHeight="1"/>
    <x:row r="92" ht="112.5" customHeight="1"/>
    <x:row r="93" ht="112.5" customHeight="1"/>
    <x:row r="94" ht="112.5" customHeight="1"/>
    <x:row r="95" ht="112.5" customHeight="1"/>
    <x:row r="96" ht="112.5" customHeight="1"/>
    <x:row r="97" ht="112.5" customHeight="1"/>
    <x:row r="98" ht="112.5" customHeight="1"/>
    <x:row r="99" ht="112.5" customHeight="1"/>
    <x:row r="100" ht="112.5" customHeight="1"/>
    <x:row r="101" ht="112.5" customHeight="1"/>
    <x:row r="102" ht="112.5" customHeight="1"/>
    <x:row r="103" ht="112.5" customHeight="1"/>
    <x:row r="104" ht="112.5" customHeight="1"/>
    <x:row r="105" ht="112.5" customHeight="1"/>
    <x:row r="106" ht="112.5" customHeight="1"/>
    <x:row r="107" ht="112.5" customHeight="1"/>
    <x:row r="108" ht="112.5" customHeight="1"/>
    <x:row r="109" ht="112.5" customHeight="1"/>
    <x:row r="110" ht="112.5" customHeight="1"/>
    <x:row r="111" ht="112.5" customHeight="1"/>
    <x:row r="112" ht="112.5" customHeight="1"/>
    <x:row r="113" ht="112.5" customHeight="1"/>
    <x:row r="114" ht="112.5" customHeight="1"/>
    <x:row r="115" ht="112.5" customHeight="1"/>
    <x:row r="116" ht="112.5" customHeight="1"/>
    <x:row r="117" ht="112.5" customHeight="1"/>
    <x:row r="118" ht="112.5" customHeight="1"/>
    <x:row r="119" ht="112.5" customHeight="1"/>
    <x:row r="120" ht="112.5" customHeight="1"/>
    <x:row r="121" ht="112.5" customHeight="1"/>
    <x:row r="122" ht="112.5" customHeight="1"/>
    <x:row r="123" ht="112.5" customHeight="1"/>
    <x:row r="124" ht="112.5" customHeight="1"/>
    <x:row r="125" ht="112.5" customHeight="1"/>
    <x:row r="126" ht="112.5" customHeight="1"/>
    <x:row r="127" ht="112.5" customHeight="1"/>
    <x:row r="128" ht="112.5" customHeight="1"/>
    <x:row r="129" ht="112.5" customHeight="1"/>
    <x:row r="130" ht="112.5" customHeight="1"/>
    <x:row r="131" ht="112.5" customHeight="1"/>
    <x:row r="132" ht="112.5" customHeight="1"/>
    <x:row r="133" ht="112.5" customHeight="1"/>
    <x:row r="134" ht="112.5" customHeight="1"/>
    <x:row r="135" ht="112.5" customHeight="1"/>
    <x:row r="136" ht="112.5" customHeight="1"/>
    <x:row r="137" ht="112.5" customHeight="1"/>
    <x:row r="138" ht="112.5" customHeight="1"/>
    <x:row r="139" ht="112.5" customHeight="1"/>
    <x:row r="140" ht="112.5" customHeight="1"/>
    <x:row r="141" ht="112.5" customHeight="1"/>
    <x:row r="142" ht="112.5" customHeight="1"/>
    <x:row r="143" ht="112.5" customHeight="1"/>
    <x:row r="144" ht="112.5" customHeight="1"/>
    <x:row r="145" ht="112.5" customHeight="1"/>
    <x:row r="146" ht="112.5" customHeight="1"/>
    <x:row r="147" ht="112.5" customHeight="1"/>
    <x:row r="148" ht="112.5" customHeight="1"/>
    <x:row r="149" ht="112.5" customHeight="1"/>
    <x:row r="150" ht="112.5" customHeight="1"/>
    <x:row r="151" ht="112.5" customHeight="1"/>
    <x:row r="152" ht="112.5" customHeight="1"/>
    <x:row r="153" ht="112.5" customHeight="1"/>
    <x:row r="154" ht="112.5" customHeight="1"/>
    <x:row r="155" ht="112.5" customHeight="1"/>
    <x:row r="156" ht="112.5" customHeight="1"/>
    <x:row r="157" ht="112.5" customHeight="1"/>
    <x:row r="158" ht="112.5" customHeight="1"/>
    <x:row r="159" ht="112.5" customHeight="1"/>
    <x:row r="160" ht="112.5" customHeight="1"/>
    <x:row r="161" ht="112.5" customHeight="1"/>
    <x:row r="162" ht="112.5" customHeight="1"/>
    <x:row r="163" ht="112.5" customHeight="1"/>
    <x:row r="164" ht="112.5" customHeight="1"/>
    <x:row r="165" ht="112.5" customHeight="1"/>
    <x:row r="166" ht="112.5" customHeight="1"/>
    <x:row r="167" ht="112.5" customHeight="1"/>
    <x:row r="168" ht="112.5" customHeight="1"/>
    <x:row r="169" ht="112.5" customHeight="1"/>
    <x:row r="170" ht="112.5" customHeight="1"/>
    <x:row r="171" ht="112.5" customHeight="1"/>
    <x:row r="172" ht="112.5" customHeight="1"/>
    <x:row r="173" ht="112.5" customHeight="1"/>
    <x:row r="174" ht="112.5" customHeight="1"/>
    <x:row r="175" ht="112.5" customHeight="1"/>
    <x:row r="176" ht="112.5" customHeight="1"/>
    <x:row r="177" ht="112.5" customHeight="1"/>
    <x:row r="178" ht="112.5" customHeight="1"/>
    <x:row r="179" ht="112.5" customHeight="1"/>
    <x:row r="180" ht="112.5" customHeight="1"/>
    <x:row r="181" ht="112.5" customHeight="1"/>
    <x:row r="182" ht="112.5" customHeight="1"/>
    <x:row r="183" ht="112.5" customHeight="1"/>
    <x:row r="184" ht="112.5" customHeight="1"/>
    <x:row r="185" ht="112.5" customHeight="1"/>
    <x:row r="186" ht="112.5" customHeight="1"/>
    <x:row r="187" ht="112.5" customHeight="1"/>
    <x:row r="188" ht="112.5" customHeight="1"/>
    <x:row r="189" ht="112.5" customHeight="1"/>
    <x:row r="190" ht="112.5" customHeight="1"/>
    <x:row r="191" ht="112.5" customHeight="1"/>
    <x:row r="192" ht="112.5" customHeight="1"/>
    <x:row r="193" ht="112.5" customHeight="1"/>
    <x:row r="194" ht="112.5" customHeight="1"/>
    <x:row r="195" ht="112.5" customHeight="1"/>
    <x:row r="196" ht="112.5" customHeight="1"/>
    <x:row r="197" ht="112.5" customHeight="1"/>
    <x:row r="198" ht="112.5" customHeight="1"/>
    <x:row r="199" ht="112.5" customHeight="1"/>
    <x:row r="200" ht="112.5" customHeight="1"/>
    <x:row r="201" ht="112.5" customHeight="1"/>
    <x:row r="202" ht="112.5" customHeight="1"/>
    <x:row r="203" ht="112.5" customHeight="1"/>
    <x:row r="204" ht="112.5" customHeight="1"/>
    <x:row r="205" ht="112.5" customHeight="1"/>
    <x:row r="206" ht="112.5" customHeight="1"/>
    <x:row r="207" ht="112.5" customHeight="1"/>
    <x:row r="208" ht="112.5" customHeight="1"/>
    <x:row r="209" ht="112.5" customHeight="1"/>
    <x:row r="210" ht="112.5" customHeight="1"/>
    <x:row r="211" ht="112.5" customHeight="1"/>
    <x:row r="212" ht="112.5" customHeight="1"/>
    <x:row r="213" ht="112.5" customHeight="1"/>
    <x:row r="214" ht="112.5" customHeight="1"/>
    <x:row r="215" ht="112.5" customHeight="1"/>
    <x:row r="216" ht="112.5" customHeight="1"/>
    <x:row r="217" ht="112.5" customHeight="1"/>
    <x:row r="218" ht="112.5" customHeight="1"/>
    <x:row r="219" ht="112.5" customHeight="1"/>
    <x:row r="220" ht="112.5" customHeight="1"/>
    <x:row r="221" ht="112.5" customHeight="1"/>
    <x:row r="222" ht="112.5" customHeight="1"/>
    <x:row r="223" ht="112.5" customHeight="1"/>
    <x:row r="224" ht="112.5" customHeight="1"/>
    <x:row r="225" ht="112.5" customHeight="1"/>
    <x:row r="226" ht="112.5" customHeight="1"/>
    <x:row r="227" ht="112.5" customHeight="1"/>
    <x:row r="228" ht="112.5" customHeight="1"/>
    <x:row r="229" ht="112.5" customHeight="1"/>
    <x:row r="230" ht="112.5" customHeight="1"/>
    <x:row r="231" ht="112.5" customHeight="1"/>
    <x:row r="232" ht="112.5" customHeight="1"/>
    <x:row r="233" ht="112.5" customHeight="1"/>
    <x:row r="234" ht="112.5" customHeight="1"/>
    <x:row r="235" ht="112.5" customHeight="1"/>
    <x:row r="236" ht="112.5" customHeight="1"/>
    <x:row r="237" ht="112.5" customHeight="1"/>
    <x:row r="238" ht="112.5" customHeight="1"/>
    <x:row r="239" ht="112.5" customHeight="1"/>
    <x:row r="240" ht="112.5" customHeight="1"/>
    <x:row r="241" ht="112.5" customHeight="1"/>
    <x:row r="242" ht="112.5" customHeight="1"/>
    <x:row r="243" ht="112.5" customHeight="1"/>
    <x:row r="244" ht="112.5" customHeight="1"/>
    <x:row r="245" ht="112.5" customHeight="1"/>
    <x:row r="246" ht="112.5" customHeight="1"/>
    <x:row r="247" ht="112.5" customHeight="1"/>
    <x:row r="248" ht="112.5" customHeight="1"/>
    <x:row r="249" ht="112.5" customHeight="1"/>
    <x:row r="250" ht="112.5" customHeight="1"/>
    <x:row r="251" ht="112.5" customHeight="1"/>
    <x:row r="252" ht="112.5" customHeight="1"/>
    <x:row r="253" ht="112.5" customHeight="1"/>
    <x:row r="254" ht="112.5" customHeight="1"/>
    <x:row r="255" ht="112.5" customHeight="1"/>
    <x:row r="256" ht="112.5" customHeight="1"/>
    <x:row r="257" ht="112.5" customHeight="1"/>
    <x:row r="258" ht="112.5" customHeight="1"/>
    <x:row r="259" ht="112.5" customHeight="1"/>
    <x:row r="260" ht="112.5" customHeight="1"/>
    <x:row r="261" ht="112.5" customHeight="1"/>
    <x:row r="262" ht="112.5" customHeight="1"/>
    <x:row r="263" ht="112.5" customHeight="1"/>
    <x:row r="264" ht="112.5" customHeight="1"/>
    <x:row r="265" ht="112.5" customHeight="1"/>
    <x:row r="266" ht="112.5" customHeight="1"/>
    <x:row r="267" ht="112.5" customHeight="1"/>
    <x:row r="268" ht="112.5" customHeight="1"/>
    <x:row r="269" ht="112.5" customHeight="1"/>
    <x:row r="270" ht="112.5" customHeight="1"/>
    <x:row r="271" ht="112.5" customHeight="1"/>
    <x:row r="272" ht="112.5" customHeight="1"/>
    <x:row r="273" ht="112.5" customHeight="1"/>
    <x:row r="274" ht="112.5" customHeight="1"/>
    <x:row r="275" ht="112.5" customHeight="1"/>
    <x:row r="276" ht="112.5" customHeight="1"/>
    <x:row r="277" ht="112.5" customHeight="1"/>
    <x:row r="278" ht="112.5" customHeight="1"/>
    <x:row r="279" ht="112.5" customHeight="1"/>
    <x:row r="280" ht="112.5" customHeight="1"/>
    <x:row r="281" ht="112.5" customHeight="1"/>
    <x:row r="282" ht="112.5" customHeight="1"/>
    <x:row r="283" ht="112.5" customHeight="1"/>
    <x:row r="284" ht="112.5" customHeight="1"/>
    <x:row r="285" ht="112.5" customHeight="1"/>
    <x:row r="286" ht="112.5" customHeight="1"/>
    <x:row r="287" ht="112.5" customHeight="1"/>
    <x:row r="288" ht="112.5" customHeight="1"/>
    <x:row r="289" ht="112.5" customHeight="1"/>
    <x:row r="290" ht="112.5" customHeight="1"/>
    <x:row r="291" ht="112.5" customHeight="1"/>
    <x:row r="292" ht="112.5" customHeight="1"/>
    <x:row r="293" ht="112.5" customHeight="1"/>
    <x:row r="294" ht="112.5" customHeight="1"/>
    <x:row r="295" ht="112.5" customHeight="1"/>
    <x:row r="296" ht="112.5" customHeight="1"/>
    <x:row r="297" ht="112.5" customHeight="1"/>
    <x:row r="298" ht="112.5" customHeight="1"/>
    <x:row r="299" ht="112.5" customHeight="1"/>
    <x:row r="300" ht="112.5" customHeight="1"/>
    <x:row r="301" ht="112.5" customHeight="1"/>
    <x:row r="302" ht="112.5" customHeight="1"/>
    <x:row r="303" ht="112.5" customHeight="1"/>
    <x:row r="304" ht="112.5" customHeight="1"/>
    <x:row r="305" ht="112.5" customHeight="1"/>
    <x:row r="306" ht="112.5" customHeight="1"/>
    <x:row r="307" ht="112.5" customHeight="1"/>
    <x:row r="308" ht="112.5" customHeight="1"/>
    <x:row r="309" ht="112.5" customHeight="1"/>
    <x:row r="310" ht="112.5" customHeight="1"/>
    <x:row r="311" ht="112.5" customHeight="1"/>
    <x:row r="312" ht="112.5" customHeight="1"/>
    <x:row r="313" ht="112.5" customHeight="1"/>
    <x:row r="314" ht="112.5" customHeight="1"/>
    <x:row r="315" ht="112.5" customHeight="1"/>
    <x:row r="316" ht="112.5" customHeight="1"/>
    <x:row r="317" ht="112.5" customHeight="1"/>
    <x:row r="318" ht="112.5" customHeight="1"/>
    <x:row r="319" ht="112.5" customHeight="1"/>
    <x:row r="320" ht="112.5" customHeight="1"/>
    <x:row r="321" ht="112.5" customHeight="1"/>
    <x:row r="322" ht="112.5" customHeight="1"/>
    <x:row r="323" ht="112.5" customHeight="1"/>
    <x:row r="324" ht="112.5" customHeight="1"/>
    <x:row r="325" ht="112.5" customHeight="1"/>
    <x:row r="326" ht="112.5" customHeight="1"/>
    <x:row r="327" ht="112.5" customHeight="1"/>
    <x:row r="328" ht="112.5" customHeight="1"/>
    <x:row r="329" ht="112.5" customHeight="1"/>
    <x:row r="330" ht="112.5" customHeight="1"/>
    <x:row r="331" ht="112.5" customHeight="1"/>
    <x:row r="332" ht="112.5" customHeight="1"/>
    <x:row r="333" ht="112.5" customHeight="1"/>
    <x:row r="334" ht="112.5" customHeight="1"/>
    <x:row r="335" ht="112.5" customHeight="1"/>
    <x:row r="336" ht="112.5" customHeight="1"/>
    <x:row r="337" ht="112.5" customHeight="1"/>
    <x:row r="338" ht="112.5" customHeight="1"/>
    <x:row r="339" ht="112.5" customHeight="1"/>
    <x:row r="340" ht="112.5" customHeight="1"/>
    <x:row r="341" ht="112.5" customHeight="1"/>
    <x:row r="342" ht="112.5" customHeight="1"/>
    <x:row r="343" ht="112.5" customHeight="1"/>
    <x:row r="344" ht="112.5" customHeight="1"/>
    <x:row r="345" ht="112.5" customHeight="1"/>
    <x:row r="346" ht="112.5" customHeight="1"/>
    <x:row r="347" ht="112.5" customHeight="1"/>
    <x:row r="348" ht="112.5" customHeight="1"/>
    <x:row r="349" ht="112.5" customHeight="1"/>
    <x:row r="350" ht="112.5" customHeight="1"/>
    <x:row r="351" ht="112.5" customHeight="1"/>
    <x:row r="352" ht="112.5" customHeight="1"/>
    <x:row r="353" ht="112.5" customHeight="1"/>
    <x:row r="354" ht="112.5" customHeight="1"/>
    <x:row r="355" ht="112.5" customHeight="1"/>
    <x:row r="356" ht="112.5" customHeight="1"/>
    <x:row r="357" ht="112.5" customHeight="1"/>
    <x:row r="358" ht="112.5" customHeight="1"/>
    <x:row r="359" ht="112.5" customHeight="1"/>
    <x:row r="360" ht="112.5" customHeight="1"/>
    <x:row r="361" ht="112.5" customHeight="1"/>
    <x:row r="362" ht="112.5" customHeight="1"/>
    <x:row r="363" ht="112.5" customHeight="1"/>
    <x:row r="364" ht="112.5" customHeight="1"/>
    <x:row r="365" ht="112.5" customHeight="1"/>
    <x:row r="366" ht="112.5" customHeight="1"/>
    <x:row r="367" ht="112.5" customHeight="1"/>
    <x:row r="368" ht="112.5" customHeight="1"/>
    <x:row r="369" ht="112.5" customHeight="1"/>
    <x:row r="370" ht="112.5" customHeight="1"/>
    <x:row r="371" ht="112.5" customHeight="1"/>
    <x:row r="372" ht="112.5" customHeight="1"/>
    <x:row r="373" ht="112.5" customHeight="1"/>
    <x:row r="374" ht="112.5" customHeight="1"/>
    <x:row r="375" ht="112.5" customHeight="1"/>
    <x:row r="376" ht="112.5" customHeight="1"/>
    <x:row r="377" ht="112.5" customHeight="1"/>
    <x:row r="378" ht="112.5" customHeight="1"/>
    <x:row r="379" ht="112.5" customHeight="1"/>
    <x:row r="380" ht="112.5" customHeight="1"/>
    <x:row r="381" ht="112.5" customHeight="1"/>
    <x:row r="382" ht="112.5" customHeight="1"/>
    <x:row r="383" ht="112.5" customHeight="1"/>
    <x:row r="384" ht="112.5" customHeight="1"/>
    <x:row r="385" ht="112.5" customHeight="1"/>
    <x:row r="386" ht="112.5" customHeight="1"/>
    <x:row r="387" ht="112.5" customHeight="1"/>
    <x:row r="388" ht="112.5" customHeight="1"/>
    <x:row r="389" ht="112.5" customHeight="1"/>
    <x:row r="390" ht="112.5" customHeight="1"/>
    <x:row r="391" ht="112.5" customHeight="1"/>
    <x:row r="392" ht="112.5" customHeight="1"/>
    <x:row r="393" ht="112.5" customHeight="1"/>
    <x:row r="394" ht="112.5" customHeight="1"/>
    <x:row r="395" ht="112.5" customHeight="1"/>
    <x:row r="396" ht="112.5" customHeight="1"/>
    <x:row r="397" ht="112.5" customHeight="1"/>
    <x:row r="398" ht="112.5" customHeight="1"/>
    <x:row r="399" ht="112.5" customHeight="1"/>
    <x:row r="400" ht="112.5" customHeight="1"/>
    <x:row r="401" ht="112.5" customHeight="1"/>
    <x:row r="402" ht="112.5" customHeight="1"/>
    <x:row r="403" ht="112.5" customHeight="1"/>
    <x:row r="404" ht="112.5" customHeight="1"/>
    <x:row r="405" ht="112.5" customHeight="1"/>
    <x:row r="406" ht="112.5" customHeight="1"/>
    <x:row r="407" ht="112.5" customHeight="1"/>
    <x:row r="408" ht="112.5" customHeight="1"/>
    <x:row r="409" ht="112.5" customHeight="1"/>
    <x:row r="410" ht="112.5" customHeight="1"/>
    <x:row r="411" ht="112.5" customHeight="1"/>
    <x:row r="412" ht="112.5" customHeight="1"/>
    <x:row r="413" ht="112.5" customHeight="1"/>
    <x:row r="414" ht="112.5" customHeight="1"/>
    <x:row r="415" ht="112.5" customHeight="1"/>
    <x:row r="416" ht="112.5" customHeight="1"/>
    <x:row r="417" ht="112.5" customHeight="1"/>
    <x:row r="418" ht="112.5" customHeight="1"/>
    <x:row r="419" ht="112.5" customHeight="1"/>
    <x:row r="420" ht="112.5" customHeight="1"/>
    <x:row r="421" ht="112.5" customHeight="1"/>
    <x:row r="422" ht="112.5" customHeight="1"/>
    <x:row r="423" ht="112.5" customHeight="1"/>
    <x:row r="424" ht="112.5" customHeight="1"/>
    <x:row r="425" ht="112.5" customHeight="1"/>
    <x:row r="426" ht="112.5" customHeight="1"/>
    <x:row r="427" ht="112.5" customHeight="1"/>
    <x:row r="428" ht="112.5" customHeight="1"/>
    <x:row r="429" ht="112.5" customHeight="1"/>
    <x:row r="430" ht="112.5" customHeight="1"/>
    <x:row r="431" ht="112.5" customHeight="1"/>
    <x:row r="432" ht="112.5" customHeight="1"/>
    <x:row r="433" ht="112.5" customHeight="1"/>
    <x:row r="434" ht="112.5" customHeight="1"/>
    <x:row r="435" ht="112.5" customHeight="1"/>
    <x:row r="436" ht="112.5" customHeight="1"/>
    <x:row r="437" ht="112.5" customHeight="1"/>
    <x:row r="438" ht="112.5" customHeight="1"/>
    <x:row r="439" ht="112.5" customHeight="1"/>
    <x:row r="440" ht="112.5" customHeight="1"/>
    <x:row r="441" ht="112.5" customHeight="1"/>
    <x:row r="442" ht="112.5" customHeight="1"/>
    <x:row r="443" ht="112.5" customHeight="1"/>
    <x:row r="444" ht="112.5" customHeight="1"/>
    <x:row r="445" ht="112.5" customHeight="1"/>
    <x:row r="446" ht="112.5" customHeight="1"/>
    <x:row r="447" ht="112.5" customHeight="1"/>
    <x:row r="448" ht="112.5" customHeight="1"/>
    <x:row r="449" ht="112.5" customHeight="1"/>
    <x:row r="450" ht="112.5" customHeight="1"/>
    <x:row r="451" ht="112.5" customHeight="1"/>
    <x:row r="452" ht="112.5" customHeight="1"/>
    <x:row r="453" ht="112.5" customHeight="1"/>
    <x:row r="454" ht="112.5" customHeight="1"/>
    <x:row r="455" ht="112.5" customHeight="1"/>
    <x:row r="456" ht="112.5" customHeight="1"/>
    <x:row r="457" ht="112.5" customHeight="1"/>
    <x:row r="458" ht="112.5" customHeight="1"/>
    <x:row r="459" ht="112.5" customHeight="1"/>
    <x:row r="460" ht="112.5" customHeight="1"/>
    <x:row r="461" ht="112.5" customHeight="1"/>
    <x:row r="462" ht="112.5" customHeight="1"/>
    <x:row r="463" ht="112.5" customHeight="1"/>
    <x:row r="464" ht="112.5" customHeight="1"/>
    <x:row r="465" ht="112.5" customHeight="1"/>
    <x:row r="466" ht="112.5" customHeight="1"/>
    <x:row r="467" ht="112.5" customHeight="1"/>
    <x:row r="468" ht="112.5" customHeight="1"/>
    <x:row r="469" ht="112.5" customHeight="1"/>
    <x:row r="470" ht="112.5" customHeight="1"/>
    <x:row r="471" ht="112.5" customHeight="1"/>
    <x:row r="472" ht="112.5" customHeight="1"/>
    <x:row r="473" ht="112.5" customHeight="1"/>
    <x:row r="474" ht="112.5" customHeight="1"/>
    <x:row r="475" ht="112.5" customHeight="1"/>
    <x:row r="476" ht="112.5" customHeight="1"/>
    <x:row r="477" ht="112.5" customHeight="1"/>
    <x:row r="478" ht="112.5" customHeight="1"/>
    <x:row r="479" ht="112.5" customHeight="1"/>
    <x:row r="480" ht="112.5" customHeight="1"/>
    <x:row r="481" ht="112.5" customHeight="1"/>
    <x:row r="482" ht="112.5" customHeight="1"/>
    <x:row r="483" ht="112.5" customHeight="1"/>
    <x:row r="484" ht="112.5" customHeight="1"/>
    <x:row r="485" ht="112.5" customHeight="1"/>
    <x:row r="486" ht="112.5" customHeight="1"/>
    <x:row r="487" ht="112.5" customHeight="1"/>
    <x:row r="488" ht="112.5" customHeight="1"/>
    <x:row r="489" ht="112.5" customHeight="1"/>
    <x:row r="490" ht="112.5" customHeight="1"/>
    <x:row r="491" ht="112.5" customHeight="1"/>
    <x:row r="492" ht="112.5" customHeight="1"/>
    <x:row r="493" ht="112.5" customHeight="1"/>
    <x:row r="494" ht="112.5" customHeight="1"/>
    <x:row r="495" ht="112.5" customHeight="1"/>
    <x:row r="496" ht="112.5" customHeight="1"/>
    <x:row r="497" ht="112.5" customHeight="1"/>
    <x:row r="498" ht="112.5" customHeight="1"/>
    <x:row r="499" ht="112.5" customHeight="1"/>
    <x:row r="500" ht="112.5" customHeight="1"/>
    <x:row r="501" ht="112.5" customHeight="1"/>
    <x:row r="502" ht="112.5" customHeight="1"/>
    <x:row r="503" ht="112.5" customHeight="1"/>
    <x:row r="504" ht="112.5" customHeight="1"/>
    <x:row r="505" ht="112.5" customHeight="1"/>
    <x:row r="506" ht="112.5" customHeight="1"/>
    <x:row r="507" ht="112.5" customHeight="1"/>
    <x:row r="508" ht="112.5" customHeight="1"/>
    <x:row r="509" ht="112.5" customHeight="1"/>
    <x:row r="510" ht="112.5" customHeight="1"/>
    <x:row r="511" ht="112.5" customHeight="1"/>
    <x:row r="512" ht="112.5" customHeight="1"/>
    <x:row r="513" ht="112.5" customHeight="1"/>
    <x:row r="514" ht="112.5" customHeight="1"/>
    <x:row r="515" ht="112.5" customHeight="1"/>
    <x:row r="516" ht="112.5" customHeight="1"/>
    <x:row r="517" ht="112.5" customHeight="1"/>
    <x:row r="518" ht="112.5" customHeight="1"/>
    <x:row r="519" ht="112.5" customHeight="1"/>
    <x:row r="520" ht="112.5" customHeight="1"/>
    <x:row r="521" ht="112.5" customHeight="1"/>
    <x:row r="522" ht="112.5" customHeight="1"/>
    <x:row r="523" ht="112.5" customHeight="1"/>
    <x:row r="524" ht="112.5" customHeight="1"/>
    <x:row r="525" ht="112.5" customHeight="1"/>
    <x:row r="526" ht="112.5" customHeight="1"/>
    <x:row r="527" ht="112.5" customHeight="1"/>
    <x:row r="528" ht="112.5" customHeight="1"/>
    <x:row r="529" ht="112.5" customHeight="1"/>
    <x:row r="530" ht="112.5" customHeight="1"/>
    <x:row r="531" ht="112.5" customHeight="1"/>
    <x:row r="532" ht="112.5" customHeight="1"/>
    <x:row r="533" ht="112.5" customHeight="1"/>
    <x:row r="534" ht="112.5" customHeight="1"/>
    <x:row r="535" ht="112.5" customHeight="1"/>
    <x:row r="536" ht="112.5" customHeight="1"/>
    <x:row r="537" ht="112.5" customHeight="1"/>
    <x:row r="538" ht="112.5" customHeight="1"/>
    <x:row r="539" ht="112.5" customHeight="1"/>
    <x:row r="540" ht="112.5" customHeight="1"/>
    <x:row r="541" ht="112.5" customHeight="1"/>
    <x:row r="542" ht="112.5" customHeight="1"/>
    <x:row r="543" ht="112.5" customHeight="1"/>
    <x:row r="544" ht="112.5" customHeight="1"/>
    <x:row r="545" ht="112.5" customHeight="1"/>
    <x:row r="546" ht="112.5" customHeight="1"/>
    <x:row r="547" ht="112.5" customHeight="1"/>
    <x:row r="548" ht="112.5" customHeight="1"/>
    <x:row r="549" ht="112.5" customHeight="1"/>
    <x:row r="550" ht="112.5" customHeight="1"/>
    <x:row r="551" ht="112.5" customHeight="1"/>
    <x:row r="552" ht="112.5" customHeight="1"/>
    <x:row r="553" ht="112.5" customHeight="1"/>
    <x:row r="554" ht="112.5" customHeight="1"/>
    <x:row r="555" ht="112.5" customHeight="1"/>
    <x:row r="556" ht="112.5" customHeight="1"/>
    <x:row r="557" ht="112.5" customHeight="1"/>
    <x:row r="558" ht="112.5" customHeight="1"/>
    <x:row r="559" ht="112.5" customHeight="1"/>
    <x:row r="560" ht="112.5" customHeight="1"/>
    <x:row r="561" ht="112.5" customHeight="1"/>
    <x:row r="562" ht="112.5" customHeight="1"/>
    <x:row r="563" ht="112.5" customHeight="1"/>
    <x:row r="564" ht="112.5" customHeight="1"/>
    <x:row r="565" ht="112.5" customHeight="1"/>
    <x:row r="566" ht="112.5" customHeight="1"/>
    <x:row r="567" ht="112.5" customHeight="1"/>
    <x:row r="568" ht="112.5" customHeight="1"/>
    <x:row r="569" ht="112.5" customHeight="1"/>
    <x:row r="570" ht="112.5" customHeight="1"/>
    <x:row r="571" ht="112.5" customHeight="1"/>
    <x:row r="572" ht="112.5" customHeight="1"/>
    <x:row r="573" ht="112.5" customHeight="1"/>
    <x:row r="574" ht="112.5" customHeight="1"/>
    <x:row r="575" ht="112.5" customHeight="1"/>
    <x:row r="576" ht="112.5" customHeight="1"/>
    <x:row r="577" ht="112.5" customHeight="1"/>
    <x:row r="578" ht="112.5" customHeight="1"/>
    <x:row r="579" ht="112.5" customHeight="1"/>
    <x:row r="580" ht="112.5" customHeight="1"/>
    <x:row r="581" ht="112.5" customHeight="1"/>
    <x:row r="582" ht="112.5" customHeight="1"/>
    <x:row r="583" ht="112.5" customHeight="1"/>
    <x:row r="584" ht="112.5" customHeight="1"/>
    <x:row r="585" ht="112.5" customHeight="1"/>
    <x:row r="586" ht="112.5" customHeight="1"/>
    <x:row r="587" ht="112.5" customHeight="1"/>
    <x:row r="588" ht="112.5" customHeight="1"/>
    <x:row r="589" ht="112.5" customHeight="1"/>
    <x:row r="590" ht="112.5" customHeight="1"/>
    <x:row r="591" ht="112.5" customHeight="1"/>
    <x:row r="592" ht="112.5" customHeight="1"/>
    <x:row r="593" ht="112.5" customHeight="1"/>
    <x:row r="594" ht="112.5" customHeight="1"/>
    <x:row r="595" ht="112.5" customHeight="1"/>
    <x:row r="596" ht="112.5" customHeight="1"/>
    <x:row r="597" ht="112.5" customHeight="1"/>
    <x:row r="598" ht="112.5" customHeight="1"/>
    <x:row r="599" ht="112.5" customHeight="1"/>
    <x:row r="600" ht="112.5" customHeight="1"/>
    <x:row r="601" ht="112.5" customHeight="1"/>
    <x:row r="602" ht="112.5" customHeight="1"/>
    <x:row r="603" ht="112.5" customHeight="1"/>
    <x:row r="604" ht="112.5" customHeight="1"/>
    <x:row r="605" ht="112.5" customHeight="1"/>
    <x:row r="606" ht="112.5" customHeight="1"/>
    <x:row r="607" ht="112.5" customHeight="1"/>
    <x:row r="608" ht="112.5" customHeight="1"/>
    <x:row r="609" ht="112.5" customHeight="1"/>
    <x:row r="610" ht="112.5" customHeight="1"/>
    <x:row r="611" ht="112.5" customHeight="1"/>
    <x:row r="612" ht="112.5" customHeight="1"/>
    <x:row r="613" ht="112.5" customHeight="1"/>
    <x:row r="614" ht="112.5" customHeight="1"/>
    <x:row r="615" ht="112.5" customHeight="1"/>
    <x:row r="616" ht="112.5" customHeight="1"/>
    <x:row r="617" ht="112.5" customHeight="1"/>
    <x:row r="618" ht="112.5" customHeight="1"/>
    <x:row r="619" ht="112.5" customHeight="1"/>
    <x:row r="620" ht="112.5" customHeight="1"/>
    <x:row r="621" ht="112.5" customHeight="1"/>
    <x:row r="622" ht="112.5" customHeight="1"/>
    <x:row r="623" ht="112.5" customHeight="1"/>
    <x:row r="624" ht="112.5" customHeight="1"/>
    <x:row r="625" ht="112.5" customHeight="1"/>
    <x:row r="626" ht="112.5" customHeight="1"/>
    <x:row r="627" ht="112.5" customHeight="1"/>
    <x:row r="628" ht="112.5" customHeight="1"/>
    <x:row r="629" ht="112.5" customHeight="1"/>
    <x:row r="630" ht="112.5" customHeight="1"/>
    <x:row r="631" ht="112.5" customHeight="1"/>
    <x:row r="632" ht="112.5" customHeight="1"/>
    <x:row r="633" ht="112.5" customHeight="1"/>
    <x:row r="634" ht="112.5" customHeight="1"/>
    <x:row r="635" ht="112.5" customHeight="1"/>
    <x:row r="636" ht="112.5" customHeight="1"/>
    <x:row r="637" ht="112.5" customHeight="1"/>
    <x:row r="638" ht="112.5" customHeight="1"/>
    <x:row r="639" ht="112.5" customHeight="1"/>
    <x:row r="640" ht="112.5" customHeight="1"/>
    <x:row r="641" ht="112.5" customHeight="1"/>
    <x:row r="642" ht="112.5" customHeight="1"/>
    <x:row r="643" ht="112.5" customHeight="1"/>
    <x:row r="644" ht="112.5" customHeight="1"/>
    <x:row r="645" ht="112.5" customHeight="1"/>
    <x:row r="646" ht="112.5" customHeight="1"/>
    <x:row r="647" ht="112.5" customHeight="1"/>
    <x:row r="648" ht="112.5" customHeight="1"/>
    <x:row r="649" ht="112.5" customHeight="1"/>
    <x:row r="650" ht="112.5" customHeight="1"/>
    <x:row r="651" ht="112.5" customHeight="1"/>
    <x:row r="652" ht="112.5" customHeight="1"/>
    <x:row r="653" ht="112.5" customHeight="1"/>
    <x:row r="654" ht="112.5" customHeight="1"/>
    <x:row r="655" ht="112.5" customHeight="1"/>
    <x:row r="656" ht="112.5" customHeight="1"/>
    <x:row r="657" ht="112.5" customHeight="1"/>
    <x:row r="658" ht="112.5" customHeight="1"/>
    <x:row r="659" ht="112.5" customHeight="1"/>
    <x:row r="660" ht="112.5" customHeight="1"/>
    <x:row r="661" ht="112.5" customHeight="1"/>
    <x:row r="662" ht="112.5" customHeight="1"/>
    <x:row r="663" ht="112.5" customHeight="1"/>
    <x:row r="664" ht="112.5" customHeight="1"/>
    <x:row r="665" ht="112.5" customHeight="1"/>
    <x:row r="666" ht="112.5" customHeight="1"/>
    <x:row r="667" ht="112.5" customHeight="1"/>
    <x:row r="668" ht="112.5" customHeight="1"/>
    <x:row r="669" ht="112.5" customHeight="1"/>
    <x:row r="670" ht="112.5" customHeight="1"/>
    <x:row r="671" ht="112.5" customHeight="1"/>
    <x:row r="672" ht="112.5" customHeight="1"/>
    <x:row r="673" ht="112.5" customHeight="1"/>
    <x:row r="674" ht="112.5" customHeight="1"/>
    <x:row r="675" ht="112.5" customHeight="1"/>
    <x:row r="676" ht="112.5" customHeight="1"/>
    <x:row r="677" ht="112.5" customHeight="1"/>
    <x:row r="678" ht="112.5" customHeight="1"/>
    <x:row r="679" ht="112.5" customHeight="1"/>
    <x:row r="680" ht="112.5" customHeight="1"/>
    <x:row r="681" ht="112.5" customHeight="1"/>
    <x:row r="682" ht="112.5" customHeight="1"/>
    <x:row r="683" ht="112.5" customHeight="1"/>
    <x:row r="684" ht="112.5" customHeight="1"/>
    <x:row r="685" ht="112.5" customHeight="1"/>
    <x:row r="686" ht="112.5" customHeight="1"/>
    <x:row r="687" ht="112.5" customHeight="1"/>
    <x:row r="688" ht="112.5" customHeight="1"/>
    <x:row r="689" ht="112.5" customHeight="1"/>
    <x:row r="690" ht="112.5" customHeight="1"/>
    <x:row r="691" ht="112.5" customHeight="1"/>
    <x:row r="692" ht="112.5" customHeight="1"/>
    <x:row r="693" ht="112.5" customHeight="1"/>
    <x:row r="694" ht="112.5" customHeight="1"/>
    <x:row r="695" ht="112.5" customHeight="1"/>
    <x:row r="696" ht="112.5" customHeight="1"/>
    <x:row r="697" ht="112.5" customHeight="1"/>
    <x:row r="698" ht="112.5" customHeight="1"/>
    <x:row r="699" ht="112.5" customHeight="1"/>
    <x:row r="700" ht="112.5" customHeight="1"/>
    <x:row r="701" ht="112.5" customHeight="1"/>
    <x:row r="702" ht="112.5" customHeight="1"/>
    <x:row r="703" ht="112.5" customHeight="1"/>
    <x:row r="704" ht="112.5" customHeight="1"/>
    <x:row r="705" ht="112.5" customHeight="1"/>
    <x:row r="706" ht="112.5" customHeight="1"/>
    <x:row r="707" ht="112.5" customHeight="1"/>
    <x:row r="708" ht="112.5" customHeight="1"/>
    <x:row r="709" ht="112.5" customHeight="1"/>
    <x:row r="710" ht="112.5" customHeight="1"/>
    <x:row r="711" ht="112.5" customHeight="1"/>
    <x:row r="712" ht="112.5" customHeight="1"/>
    <x:row r="713" ht="112.5" customHeight="1"/>
    <x:row r="714" ht="112.5" customHeight="1"/>
    <x:row r="715" ht="112.5" customHeight="1"/>
    <x:row r="716" ht="112.5" customHeight="1"/>
    <x:row r="717" ht="112.5" customHeight="1"/>
    <x:row r="718" ht="112.5" customHeight="1"/>
    <x:row r="719" ht="112.5" customHeight="1"/>
    <x:row r="720" ht="112.5" customHeight="1"/>
    <x:row r="721" ht="112.5" customHeight="1"/>
    <x:row r="722" ht="112.5" customHeight="1"/>
    <x:row r="723" ht="112.5" customHeight="1"/>
    <x:row r="724" ht="112.5" customHeight="1"/>
    <x:row r="725" ht="112.5" customHeight="1"/>
    <x:row r="726" ht="112.5" customHeight="1"/>
    <x:row r="727" ht="112.5" customHeight="1"/>
    <x:row r="728" ht="112.5" customHeight="1"/>
    <x:row r="729" ht="112.5" customHeight="1"/>
    <x:row r="730" ht="112.5" customHeight="1"/>
    <x:row r="731" ht="112.5" customHeight="1"/>
    <x:row r="732" ht="112.5" customHeight="1"/>
    <x:row r="733" ht="112.5" customHeight="1"/>
    <x:row r="734" ht="112.5" customHeight="1"/>
    <x:row r="735" ht="112.5" customHeight="1"/>
    <x:row r="736" ht="112.5" customHeight="1"/>
    <x:row r="737" ht="112.5" customHeight="1"/>
    <x:row r="738" ht="112.5" customHeight="1"/>
    <x:row r="739" ht="112.5" customHeight="1"/>
    <x:row r="740" ht="112.5" customHeight="1"/>
    <x:row r="741" ht="112.5" customHeight="1"/>
    <x:row r="742" ht="112.5" customHeight="1"/>
    <x:row r="743" ht="112.5" customHeight="1"/>
    <x:row r="744" ht="112.5" customHeight="1"/>
    <x:row r="745" ht="112.5" customHeight="1"/>
    <x:row r="746" ht="112.5" customHeight="1"/>
    <x:row r="747" ht="112.5" customHeight="1"/>
    <x:row r="748" ht="112.5" customHeight="1"/>
    <x:row r="749" ht="112.5" customHeight="1"/>
    <x:row r="750" ht="112.5" customHeight="1"/>
    <x:row r="751" ht="112.5" customHeight="1"/>
    <x:row r="752" ht="112.5" customHeight="1"/>
    <x:row r="753" ht="112.5" customHeight="1"/>
    <x:row r="754" ht="112.5" customHeight="1"/>
    <x:row r="755" ht="112.5" customHeight="1"/>
    <x:row r="756" ht="112.5" customHeight="1"/>
    <x:row r="757" ht="112.5" customHeight="1"/>
    <x:row r="758" ht="112.5" customHeight="1"/>
    <x:row r="759" ht="112.5" customHeight="1"/>
    <x:row r="760" ht="112.5" customHeight="1"/>
    <x:row r="761" ht="112.5" customHeight="1"/>
    <x:row r="762" ht="112.5" customHeight="1"/>
    <x:row r="763" ht="112.5" customHeight="1"/>
    <x:row r="764" ht="112.5" customHeight="1"/>
    <x:row r="765" ht="112.5" customHeight="1"/>
    <x:row r="766" ht="112.5" customHeight="1"/>
    <x:row r="767" ht="112.5" customHeight="1"/>
    <x:row r="768" ht="112.5" customHeight="1"/>
    <x:row r="769" ht="112.5" customHeight="1"/>
    <x:row r="770" ht="112.5" customHeight="1"/>
    <x:row r="771" ht="112.5" customHeight="1"/>
    <x:row r="772" ht="112.5" customHeight="1"/>
    <x:row r="773" ht="112.5" customHeight="1"/>
    <x:row r="774" ht="112.5" customHeight="1"/>
    <x:row r="775" ht="112.5" customHeight="1"/>
    <x:row r="776" ht="112.5" customHeight="1"/>
    <x:row r="777" ht="112.5" customHeight="1"/>
    <x:row r="778" ht="112.5" customHeight="1"/>
    <x:row r="779" ht="112.5" customHeight="1"/>
    <x:row r="780" ht="112.5" customHeight="1"/>
    <x:row r="781" ht="112.5" customHeight="1"/>
    <x:row r="782" ht="112.5" customHeight="1"/>
    <x:row r="783" ht="112.5" customHeight="1"/>
    <x:row r="784" ht="112.5" customHeight="1"/>
    <x:row r="785" ht="112.5" customHeight="1"/>
    <x:row r="786" ht="112.5" customHeight="1"/>
    <x:row r="787" ht="112.5" customHeight="1"/>
    <x:row r="788" ht="112.5" customHeight="1"/>
    <x:row r="789" ht="112.5" customHeight="1"/>
    <x:row r="790" ht="112.5" customHeight="1"/>
    <x:row r="791" ht="112.5" customHeight="1"/>
    <x:row r="792" ht="112.5" customHeight="1"/>
    <x:row r="793" ht="112.5" customHeight="1"/>
    <x:row r="794" ht="112.5" customHeight="1"/>
    <x:row r="795" ht="112.5" customHeight="1"/>
    <x:row r="796" ht="112.5" customHeight="1"/>
    <x:row r="797" ht="112.5" customHeight="1"/>
    <x:row r="798" ht="112.5" customHeight="1"/>
    <x:row r="799" ht="112.5" customHeight="1"/>
    <x:row r="800" ht="112.5" customHeight="1"/>
    <x:row r="801" ht="112.5" customHeight="1"/>
    <x:row r="802" ht="112.5" customHeight="1"/>
    <x:row r="803" ht="112.5" customHeight="1"/>
    <x:row r="804" ht="112.5" customHeight="1"/>
    <x:row r="805" ht="112.5" customHeight="1"/>
    <x:row r="806" ht="112.5" customHeight="1"/>
    <x:row r="807" ht="112.5" customHeight="1"/>
    <x:row r="808" ht="112.5" customHeight="1"/>
    <x:row r="809" ht="112.5" customHeight="1"/>
    <x:row r="810" ht="112.5" customHeight="1"/>
    <x:row r="811" ht="112.5" customHeight="1"/>
    <x:row r="812" ht="112.5" customHeight="1"/>
    <x:row r="813" ht="112.5" customHeight="1"/>
    <x:row r="814" ht="112.5" customHeight="1"/>
    <x:row r="815" ht="112.5" customHeight="1"/>
    <x:row r="816" ht="112.5" customHeight="1"/>
    <x:row r="817" ht="112.5" customHeight="1"/>
    <x:row r="818" ht="112.5" customHeight="1"/>
    <x:row r="819" ht="112.5" customHeight="1"/>
    <x:row r="820" ht="112.5" customHeight="1"/>
    <x:row r="821" ht="112.5" customHeight="1"/>
    <x:row r="822" ht="112.5" customHeight="1"/>
    <x:row r="823" ht="112.5" customHeight="1"/>
    <x:row r="824" ht="112.5" customHeight="1"/>
    <x:row r="825" ht="112.5" customHeight="1"/>
    <x:row r="826" ht="112.5" customHeight="1"/>
    <x:row r="827" ht="112.5" customHeight="1"/>
    <x:row r="828" ht="112.5" customHeight="1"/>
    <x:row r="829" ht="112.5" customHeight="1"/>
    <x:row r="830" ht="112.5" customHeight="1"/>
    <x:row r="831" ht="112.5" customHeight="1"/>
    <x:row r="832" ht="112.5" customHeight="1"/>
    <x:row r="833" ht="112.5" customHeight="1"/>
    <x:row r="834" ht="112.5" customHeight="1"/>
    <x:row r="835" ht="112.5" customHeight="1"/>
    <x:row r="836" ht="112.5" customHeight="1"/>
    <x:row r="837" ht="112.5" customHeight="1"/>
    <x:row r="838" ht="112.5" customHeight="1"/>
    <x:row r="839" ht="112.5" customHeight="1"/>
    <x:row r="840" ht="112.5" customHeight="1"/>
    <x:row r="841" ht="112.5" customHeight="1"/>
    <x:row r="842" ht="112.5" customHeight="1"/>
    <x:row r="843" ht="112.5" customHeight="1"/>
    <x:row r="844" ht="112.5" customHeight="1"/>
    <x:row r="845" ht="112.5" customHeight="1"/>
    <x:row r="846" ht="112.5" customHeight="1"/>
    <x:row r="847" ht="112.5" customHeight="1"/>
    <x:row r="848" ht="112.5" customHeight="1"/>
    <x:row r="849" ht="112.5" customHeight="1"/>
    <x:row r="850" ht="112.5" customHeight="1"/>
    <x:row r="851" ht="112.5" customHeight="1"/>
    <x:row r="852" ht="12.75" customHeight="1"/>
    <x:row r="853" ht="12.75" customHeight="1"/>
    <x:row r="854" ht="12.75" customHeight="1"/>
    <x:row r="855" ht="12.75" customHeight="1"/>
    <x:row r="856" ht="12.75" customHeight="1"/>
    <x:row r="857" ht="12.75" customHeight="1"/>
    <x:row r="858" ht="12.75" customHeight="1"/>
    <x:row r="859" ht="12.75" customHeight="1"/>
    <x:row r="860" ht="12.75" customHeight="1"/>
    <x:row r="861" ht="12.75" customHeight="1"/>
    <x:row r="862" ht="12.75" customHeight="1"/>
    <x:row r="863" ht="12.75" customHeight="1"/>
    <x:row r="864" ht="12.75" customHeight="1"/>
    <x:row r="865" ht="12.75" customHeight="1"/>
    <x:row r="866" ht="12.75" customHeight="1"/>
    <x:row r="867" ht="12.75" customHeight="1"/>
    <x:row r="868" ht="12.75" customHeight="1"/>
    <x:row r="869" ht="12.75" customHeight="1"/>
    <x:row r="870" ht="12.75" customHeight="1"/>
    <x:row r="871" ht="12.75" customHeight="1"/>
    <x:row r="872" ht="12.75" customHeight="1"/>
    <x:row r="873" ht="12.75" customHeight="1"/>
    <x:row r="874" ht="12.75" customHeight="1"/>
    <x:row r="875" ht="12.75" customHeight="1"/>
    <x:row r="876" ht="12.75" customHeight="1"/>
    <x:row r="877" ht="12.75" customHeight="1"/>
    <x:row r="878" ht="12.75" customHeight="1"/>
    <x:row r="879" ht="12.75" customHeight="1"/>
    <x:row r="880" ht="12.75" customHeight="1"/>
    <x:row r="881" ht="12.75" customHeight="1"/>
    <x:row r="882" ht="12.75" customHeight="1"/>
    <x:row r="883" ht="12.75" customHeight="1"/>
    <x:row r="884" ht="12.75" customHeight="1"/>
    <x:row r="885" ht="12.75" customHeight="1"/>
    <x:row r="886" ht="12.75" customHeight="1"/>
    <x:row r="887" ht="12.75" customHeight="1"/>
    <x:row r="888" ht="12.75" customHeight="1"/>
    <x:row r="889" ht="12.75" customHeight="1"/>
    <x:row r="890" ht="12.75" customHeight="1"/>
    <x:row r="891" ht="12.75" customHeight="1"/>
    <x:row r="892" ht="12.75" customHeight="1"/>
    <x:row r="893" ht="12.75" customHeight="1"/>
    <x:row r="894" ht="12.75" customHeight="1"/>
    <x:row r="895" ht="12.75" customHeight="1"/>
    <x:row r="896" ht="12.75" customHeight="1"/>
    <x:row r="897" ht="12.75" customHeight="1"/>
    <x:row r="898" ht="12.75" customHeight="1"/>
    <x:row r="899" ht="12.75" customHeight="1"/>
    <x:row r="900" ht="12.75" customHeight="1"/>
    <x:row r="901" ht="12.75" customHeight="1"/>
    <x:row r="902" ht="12.75" customHeight="1"/>
    <x:row r="903" ht="12.75" customHeight="1"/>
    <x:row r="904" ht="12.75" customHeight="1"/>
    <x:row r="905" ht="12.75" customHeight="1"/>
    <x:row r="906" ht="12.75" customHeight="1"/>
    <x:row r="907" ht="12.75" customHeight="1"/>
    <x:row r="908" ht="12.75" customHeight="1"/>
    <x:row r="909" ht="12.75" customHeight="1"/>
    <x:row r="910" ht="12.75" customHeight="1"/>
    <x:row r="911" ht="12.75" customHeight="1"/>
    <x:row r="912" ht="12.75" customHeight="1"/>
    <x:row r="913" ht="12.75" customHeight="1"/>
    <x:row r="914" ht="12.75" customHeight="1"/>
    <x:row r="915" ht="12.75" customHeight="1"/>
    <x:row r="916" ht="12.75" customHeight="1"/>
    <x:row r="917" ht="12.75" customHeight="1"/>
    <x:row r="918" ht="12.75" customHeight="1"/>
    <x:row r="919" ht="12.75" customHeight="1"/>
    <x:row r="920" ht="12.75" customHeight="1"/>
    <x:row r="921" ht="12.75" customHeight="1"/>
    <x:row r="922" ht="12.75" customHeight="1"/>
    <x:row r="923" ht="12.75" customHeight="1"/>
    <x:row r="924" ht="12.75" customHeight="1"/>
    <x:row r="925" ht="12.75" customHeight="1"/>
    <x:row r="926" ht="12.75" customHeight="1"/>
    <x:row r="927" ht="12.75" customHeight="1"/>
    <x:row r="928" ht="12.75" customHeight="1"/>
    <x:row r="929" ht="12.75" customHeight="1"/>
    <x:row r="930" ht="12.75" customHeight="1"/>
    <x:row r="931" ht="12.75" customHeight="1"/>
    <x:row r="932" ht="12.75" customHeight="1"/>
    <x:row r="933" ht="12.75" customHeight="1"/>
    <x:row r="934" ht="12.75" customHeight="1"/>
    <x:row r="935" ht="12.75" customHeight="1"/>
    <x:row r="936" ht="12.75" customHeight="1"/>
    <x:row r="937" ht="12.75" customHeight="1"/>
    <x:row r="938" ht="12.75" customHeight="1"/>
    <x:row r="939" ht="12.75" customHeight="1"/>
    <x:row r="940" ht="12.75" customHeight="1"/>
    <x:row r="941" ht="12.75" customHeight="1"/>
    <x:row r="942" ht="12.75" customHeight="1"/>
    <x:row r="943" ht="12.75" customHeight="1"/>
    <x:row r="944" ht="12.75" customHeight="1"/>
    <x:row r="945" ht="12.75" customHeight="1"/>
    <x:row r="946" ht="12.75" customHeight="1"/>
    <x:row r="947" ht="12.75" customHeight="1"/>
    <x:row r="948" ht="12.75" customHeight="1"/>
    <x:row r="949" ht="12.75" customHeight="1"/>
    <x:row r="950" ht="12.75" customHeight="1"/>
    <x:row r="951" ht="12.75" customHeight="1"/>
    <x:row r="952" ht="12.75" customHeight="1"/>
    <x:row r="953" ht="12.75" customHeight="1"/>
    <x:row r="954" ht="12.75" customHeight="1"/>
    <x:row r="955" ht="12.75" customHeight="1"/>
    <x:row r="956" ht="12.75" customHeight="1"/>
    <x:row r="957" ht="12.75" customHeight="1"/>
    <x:row r="958" ht="12.75" customHeight="1"/>
    <x:row r="959" ht="12.75" customHeight="1"/>
    <x:row r="960" ht="12.75" customHeight="1"/>
    <x:row r="961" ht="12.75" customHeight="1"/>
    <x:row r="962" ht="12.75" customHeight="1"/>
    <x:row r="963" ht="12.75" customHeight="1"/>
    <x:row r="964" ht="12.75" customHeight="1"/>
    <x:row r="965" ht="12.75" customHeight="1"/>
    <x:row r="966" ht="12.75" customHeight="1"/>
    <x:row r="967" ht="12.75" customHeight="1"/>
    <x:row r="968" ht="12.75" customHeight="1"/>
    <x:row r="969" ht="12.75" customHeight="1"/>
    <x:row r="970" ht="12.75" customHeight="1"/>
    <x:row r="971" ht="12.75" customHeight="1"/>
    <x:row r="972" ht="12.75" customHeight="1"/>
    <x:row r="973" ht="12.75" customHeight="1"/>
    <x:row r="974" ht="12.75" customHeight="1"/>
    <x:row r="975" ht="12.75" customHeight="1"/>
    <x:row r="976" ht="12.75" customHeight="1"/>
    <x:row r="977" ht="12.75" customHeight="1"/>
    <x:row r="978" ht="12.75" customHeight="1"/>
    <x:row r="979" ht="12.75" customHeight="1"/>
    <x:row r="980" ht="12.75" customHeight="1"/>
    <x:row r="981" ht="12.75" customHeight="1"/>
    <x:row r="982" ht="12.75" customHeight="1"/>
    <x:row r="983" ht="12.75" customHeight="1"/>
    <x:row r="984" ht="12.75" customHeight="1"/>
    <x:row r="985" ht="12.75" customHeight="1"/>
    <x:row r="986" ht="12.75" customHeight="1"/>
    <x:row r="987" ht="12.75" customHeight="1"/>
    <x:row r="988" ht="12.75" customHeight="1"/>
    <x:row r="989" ht="12.75" customHeight="1"/>
    <x:row r="990" ht="12.75" customHeight="1"/>
    <x:row r="991" ht="12.75" customHeight="1"/>
    <x:row r="992" ht="12.75" customHeight="1"/>
    <x:row r="993" ht="12.75" customHeight="1"/>
    <x:row r="994" ht="12.75" customHeight="1"/>
    <x:row r="995" ht="12.75" customHeight="1"/>
    <x:row r="996" ht="12.75" customHeight="1"/>
    <x:row r="997" ht="12.75" customHeight="1"/>
    <x:row r="998" ht="12.75" customHeight="1"/>
    <x:row r="999" ht="12.75" customHeight="1"/>
    <x:row r="1000" ht="12.75" customHeight="1"/>
  </x:sheetData>
  <x:mergeCells count="38">
    <x:mergeCell ref="B8:G8"/>
    <x:mergeCell ref="J8:N8"/>
    <x:mergeCell ref="B9:H9"/>
    <x:mergeCell ref="J9:N9"/>
    <x:mergeCell ref="B10:H10"/>
    <x:mergeCell ref="J10:N10"/>
    <x:mergeCell ref="B11:H11"/>
    <x:mergeCell ref="J11:N11"/>
    <x:mergeCell ref="B12:H12"/>
    <x:mergeCell ref="J12:L12"/>
    <x:mergeCell ref="M12:N12"/>
    <x:mergeCell ref="B13:E13"/>
    <x:mergeCell ref="F13:H13"/>
    <x:mergeCell ref="J13:N13"/>
    <x:mergeCell ref="B14:D14"/>
    <x:mergeCell ref="E14:F14"/>
    <x:mergeCell ref="G14:I14"/>
    <x:mergeCell ref="J14:N14"/>
    <x:mergeCell ref="B15:D15"/>
    <x:mergeCell ref="E15:F15"/>
    <x:mergeCell ref="G15:I15"/>
    <x:mergeCell ref="J15:N15"/>
    <x:mergeCell ref="B16:N16"/>
    <x:mergeCell ref="B20:G20"/>
    <x:mergeCell ref="H20:J20"/>
    <x:mergeCell ref="K20:L20"/>
    <x:mergeCell ref="K21:L21"/>
    <x:mergeCell ref="K22:L22"/>
    <x:mergeCell ref="K23:L23"/>
    <x:mergeCell ref="D28:D29"/>
    <x:mergeCell ref="E28:E29"/>
    <x:mergeCell ref="F28:F29"/>
    <x:mergeCell ref="G28:G29"/>
    <x:mergeCell ref="H28:H29"/>
    <x:mergeCell ref="I28:I29"/>
    <x:mergeCell ref="J28:J29"/>
    <x:mergeCell ref="L28:L29"/>
    <x:mergeCell ref="N28:N29"/>
  </x:mergeCells>
  <x:printOptions horizontalCentered="1" verticalCentered="0" headings="0" gridLines="0"/>
  <x:pageMargins left="0" right="0" top="0" bottom="0" header="0" footer="0"/>
  <x:pageSetup paperSize="9" pageOrder="downThenOver" orientation="landscape" blackAndWhite="0" draft="0" cellComments="none" errors="displayed"/>
  <x:headerFooter/>
  <x:drawing r:id="rId1"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0" summaryRight="0"/>
  </x:sheetPr>
  <x:dimension ref="B1:Z2"/>
  <x:sheetViews>
    <x:sheetView topLeftCell="E1" workbookViewId="0"/>
  </x:sheetViews>
  <x:sheetFormatPr baseColWidth="10" defaultColWidth="12.567768" defaultRowHeight="15" customHeight="1"/>
  <x:cols>
    <x:col min="1" max="1" width="12.567768" style="0" customWidth="1"/>
    <x:col min="2" max="2" width="17" style="0" customWidth="1"/>
    <x:col min="3" max="3" width="12.567768" style="0" customWidth="1"/>
    <x:col min="4" max="4" width="16.089844" style="0" customWidth="1"/>
    <x:col min="5" max="5" width="24" style="0" customWidth="1"/>
    <x:col min="6" max="6" width="12.567768" style="0" customWidth="1"/>
    <x:col min="7" max="7" width="20.363281" style="0" customWidth="1"/>
    <x:col min="8" max="8" width="19.269531" style="0" customWidth="1"/>
    <x:col min="9" max="9" width="20.089844" style="0" customWidth="1"/>
  </x:cols>
  <x:sheetData>
    <x:row r="1" spans="1:26" ht="15" customHeight="1">
      <x:c r="B1" s="121" t="s">
        <x:v>23</x:v>
      </x:c>
      <x:c r="C1" s="122" t="s">
        <x:v>24</x:v>
      </x:c>
      <x:c r="D1" s="122" t="s">
        <x:v>25</x:v>
      </x:c>
      <x:c r="E1" s="122" t="s">
        <x:v>26</x:v>
      </x:c>
      <x:c r="F1" s="121" t="s">
        <x:v>9</x:v>
      </x:c>
      <x:c r="G1" s="121" t="s">
        <x:v>27</x:v>
      </x:c>
      <x:c r="H1" s="121" t="s">
        <x:v>28</x:v>
      </x:c>
      <x:c r="I1" s="122" t="s">
        <x:v>29</x:v>
      </x:c>
      <x:c r="J1" s="50" t="s">
        <x:v>30</x:v>
      </x:c>
      <x:c r="K1" s="50" t="s">
        <x:v>31</x:v>
      </x:c>
      <x:c r="L1" s="50" t="s">
        <x:v>32</x:v>
      </x:c>
    </x:row>
    <x:row r="2" spans="1:26" ht="15" customHeight="1">
      <x:c r="B2" s="50" t="s">
        <x:v>44</x:v>
      </x:c>
      <x:c r="C2" s="50" t="s">
        <x:v>33</x:v>
      </x:c>
      <x:c r="D2" s="50" t="s">
        <x:v>34</x:v>
      </x:c>
      <x:c r="E2" s="53" t="s">
        <x:v>45</x:v>
      </x:c>
      <x:c r="F2" s="50" t="s">
        <x:v>46</x:v>
      </x:c>
      <x:c r="G2" s="50" t="s">
        <x:v>36</x:v>
      </x:c>
      <x:c r="H2" s="50" t="s">
        <x:v>35</x:v>
      </x:c>
      <x:c r="I2" s="50" t="s">
        <x:v>37</x:v>
      </x:c>
      <x:c r="J2" s="50" t="s">
        <x:v>35</x:v>
      </x:c>
      <x:c r="K2" s="50" t="s">
        <x:v>35</x:v>
      </x:c>
      <x:c r="L2" s="50" t="s">
        <x:v>38</x:v>
      </x:c>
      <x:c r="M2" s="50" t="s">
        <x:v>39</x:v>
      </x:c>
      <x:c r="N2" s="50" t="s">
        <x:v>40</x:v>
      </x:c>
      <x:c r="O2" s="50" t="s">
        <x:v>41</x:v>
      </x:c>
      <x:c r="P2" s="50" t="s">
        <x:v>42</x:v>
      </x:c>
      <x:c r="Q2" s="50"/>
      <x:c r="R2" s="50"/>
      <x:c r="S2" s="50"/>
      <x:c r="Z2" s="50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Hoja1</vt:lpstr>
      <vt:lpstr>Instancia</vt:lpstr>
      <vt:lpstr>Hoja1!Print_Area</vt:lpstr>
      <vt:lpstr>Hoja1!Print_Titles</vt:lpstr>
      <vt:lpstr>Instancia!Print_Area</vt:lpstr>
      <vt:lpstr>Instancia!Print_Titles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samuelllano166@hotmail.com</lastModifiedBy>
  <dcterms:modified xsi:type="dcterms:W3CDTF">2026-03-19T21:59:57.0000000Z</dcterms:modified>
  <dcterms:created xsi:type="dcterms:W3CDTF">2026-03-19T23:06:22.7349214Z</dcterms:created>
</coreProperties>
</file>