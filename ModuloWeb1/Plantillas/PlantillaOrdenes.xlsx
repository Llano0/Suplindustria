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FC5EC8C7-4D46-4900-840D-F54268DDCB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Instancia" sheetId="4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9" i="1"/>
  <c r="B16" i="1"/>
  <c r="J15" i="1"/>
  <c r="G15" i="1"/>
  <c r="E15" i="1"/>
  <c r="B15" i="1"/>
  <c r="J14" i="1"/>
  <c r="B13" i="1"/>
  <c r="B11" i="1"/>
  <c r="B10" i="1"/>
  <c r="M6" i="1"/>
  <c r="I6" i="1"/>
</calcChain>
</file>

<file path=xl/sharedStrings.xml><?xml version="1.0" encoding="utf-8"?>
<sst xmlns="http://schemas.openxmlformats.org/spreadsheetml/2006/main" count="47" uniqueCount="43">
  <si>
    <r>
      <rPr>
        <b/>
        <sz val="10"/>
        <color theme="1"/>
        <rFont val="Arial"/>
      </rPr>
      <t>Facturar a:</t>
    </r>
    <r>
      <rPr>
        <sz val="10"/>
        <color theme="1"/>
        <rFont val="Arial"/>
      </rPr>
      <t xml:space="preserve">  SUPLINDUSTRIA S.A.S.</t>
    </r>
  </si>
  <si>
    <r>
      <rPr>
        <b/>
        <sz val="10"/>
        <color theme="1"/>
        <rFont val="Arial"/>
      </rPr>
      <t xml:space="preserve">Nit/CC: </t>
    </r>
    <r>
      <rPr>
        <sz val="10"/>
        <color theme="1"/>
        <rFont val="Arial"/>
      </rPr>
      <t xml:space="preserve">   901.130.635-2     </t>
    </r>
  </si>
  <si>
    <r>
      <rPr>
        <b/>
        <sz val="10"/>
        <color theme="1"/>
        <rFont val="Arial"/>
      </rPr>
      <t xml:space="preserve">Ciudad: </t>
    </r>
    <r>
      <rPr>
        <sz val="10"/>
        <color theme="1"/>
        <rFont val="Arial"/>
      </rPr>
      <t xml:space="preserve">     Medellin       </t>
    </r>
    <r>
      <rPr>
        <b/>
        <sz val="10"/>
        <color theme="1"/>
        <rFont val="Arial"/>
      </rPr>
      <t>Depto:</t>
    </r>
    <r>
      <rPr>
        <sz val="10"/>
        <color theme="1"/>
        <rFont val="Arial"/>
      </rPr>
      <t xml:space="preserve">    Antioquia</t>
    </r>
  </si>
  <si>
    <r>
      <rPr>
        <b/>
        <sz val="10"/>
        <color theme="1"/>
        <rFont val="Arial"/>
      </rPr>
      <t xml:space="preserve">Direccion: </t>
    </r>
    <r>
      <rPr>
        <sz val="10"/>
        <color theme="1"/>
        <rFont val="Arial"/>
      </rPr>
      <t xml:space="preserve"> CRR. 56 # 29-60</t>
    </r>
  </si>
  <si>
    <t>Telefonos/Fax/Cel:    3185555553</t>
  </si>
  <si>
    <r>
      <rPr>
        <b/>
        <sz val="10"/>
        <color theme="1"/>
        <rFont val="Arial"/>
      </rPr>
      <t>Telefonos:</t>
    </r>
    <r>
      <rPr>
        <sz val="10"/>
        <color theme="1"/>
        <rFont val="Arial"/>
      </rPr>
      <t xml:space="preserve">    (+574) 5776061</t>
    </r>
  </si>
  <si>
    <t xml:space="preserve">Fax:  </t>
  </si>
  <si>
    <t>Fecha Orden</t>
  </si>
  <si>
    <t>Moneda</t>
  </si>
  <si>
    <t>Comprador</t>
  </si>
  <si>
    <t>Ln</t>
  </si>
  <si>
    <t>Item</t>
  </si>
  <si>
    <t>Modelo</t>
  </si>
  <si>
    <t>F. Entrega</t>
  </si>
  <si>
    <t>%IVA</t>
  </si>
  <si>
    <t>Cantidad</t>
  </si>
  <si>
    <t>UM</t>
  </si>
  <si>
    <t>Precio Unit.</t>
  </si>
  <si>
    <t>% Desc.</t>
  </si>
  <si>
    <t>Valor Total</t>
  </si>
  <si>
    <t>ANNI CARMONA</t>
  </si>
  <si>
    <t>ABB_COLOMBIA_LTDA</t>
  </si>
  <si>
    <t>901283882-1</t>
  </si>
  <si>
    <t>Bogotá</t>
  </si>
  <si>
    <t>CR 45 108 27 TO 1 P 12 (!) PARALELO 108</t>
  </si>
  <si>
    <t>Número de Orden</t>
  </si>
  <si>
    <t>Contacto</t>
  </si>
  <si>
    <t>Correo Contacto</t>
  </si>
  <si>
    <t>Fecha de Orden (D/M/A)</t>
  </si>
  <si>
    <t>Entregar a (Principal)</t>
  </si>
  <si>
    <t>Entregar a (Alterno)</t>
  </si>
  <si>
    <t>Condiciones de Pago</t>
  </si>
  <si>
    <t>Observaciones</t>
  </si>
  <si>
    <t>Descuento</t>
  </si>
  <si>
    <t>proveedor</t>
  </si>
  <si>
    <t>2-ABB_COLOMBIA_LTDA</t>
  </si>
  <si>
    <t>DIEGO ZAPATA</t>
  </si>
  <si>
    <t>NA</t>
  </si>
  <si>
    <t>USD</t>
  </si>
  <si>
    <t>SUPLINDUSTRA SAS</t>
  </si>
  <si>
    <t>CRÉDITO</t>
  </si>
  <si>
    <t xml:space="preserve">Descripcion </t>
  </si>
  <si>
    <t>N° Catálogo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</si>
</sst>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_);_(&quot;$&quot;* \(#,##0\);_(&quot;$&quot;* &quot;-&quot;??_);_(@_)"/>
    <numFmt numFmtId="165" formatCode="dd/mm/yyyy"/>
    <numFmt numFmtId="166" formatCode="_-[$$-409]* #,##0_ ;_-[$$-409]* \-#,##0\ ;_-[$$-409]* &quot;-&quot;_ ;_-@_ "/>
    <numFmt numFmtId="167" formatCode="_(&quot;$&quot;* #,##0.00_);_(&quot;$&quot;* \(#,##0.00\);_(&quot;$&quot;* &quot;-&quot;_);_(@_)"/>
    <numFmt numFmtId="168" formatCode="_(&quot;$&quot;* #,##0.00_);_(&quot;$&quot;* \(#,##0.00\);_(&quot;$&quot;* &quot;-&quot;??_);_(@_)"/>
    <numFmt numFmtId="169" formatCode="_(&quot;$&quot;* #,##0_);_(&quot;$&quot;* \(#,##0\);_(&quot;$&quot;* &quot;-&quot;_);_(@_)"/>
  </numFmts>
  <fonts count="13">
    <font>
      <sz val="10"/>
      <color rgb="FF000000"/>
      <name val="Arial"/>
      <scheme val="minor"/>
    </font>
    <font>
      <sz val="8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sz val="14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7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2"/>
      <color rgb="FF202124"/>
      <name val="Docs-Roboto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/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2" borderId="4" xfId="0" applyFont="1" applyFill="1" applyBorder="1" applyAlignment="1">
      <alignment horizontal="left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9" fontId="2" fillId="0" borderId="0" xfId="0" applyNumberFormat="1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168" fontId="3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169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168" fontId="6" fillId="0" borderId="0" xfId="0" applyNumberFormat="1" applyFont="1"/>
    <xf numFmtId="164" fontId="6" fillId="0" borderId="0" xfId="0" applyNumberFormat="1" applyFont="1"/>
    <xf numFmtId="0" fontId="2" fillId="0" borderId="0" xfId="0" applyFont="1" applyAlignment="1"/>
    <xf numFmtId="0" fontId="11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5" fontId="2" fillId="0" borderId="0" xfId="0" applyNumberFormat="1" applyFont="1" applyAlignment="1"/>
    <xf numFmtId="0" fontId="2" fillId="0" borderId="17" xfId="0" applyFont="1" applyBorder="1" applyAlignment="1"/>
    <xf numFmtId="0" fontId="2" fillId="0" borderId="17" xfId="0" applyFont="1" applyBorder="1"/>
    <xf numFmtId="0" fontId="6" fillId="2" borderId="23" xfId="0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0" fillId="0" borderId="0" xfId="0" applyFont="1" applyAlignment="1"/>
    <xf numFmtId="169" fontId="3" fillId="0" borderId="0" xfId="0" applyNumberFormat="1" applyFont="1" applyAlignment="1">
      <alignment horizontal="center" vertical="center" wrapText="1"/>
    </xf>
    <xf numFmtId="0" fontId="6" fillId="0" borderId="19" xfId="0" applyFont="1" applyBorder="1" applyAlignment="1">
      <alignment horizontal="left"/>
    </xf>
    <xf numFmtId="0" fontId="7" fillId="0" borderId="20" xfId="0" applyFont="1" applyBorder="1"/>
    <xf numFmtId="0" fontId="7" fillId="0" borderId="21" xfId="0" applyFont="1" applyBorder="1"/>
    <xf numFmtId="0" fontId="3" fillId="0" borderId="19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6" fillId="2" borderId="11" xfId="0" applyFont="1" applyFill="1" applyBorder="1" applyAlignment="1">
      <alignment horizontal="left"/>
    </xf>
    <xf numFmtId="0" fontId="7" fillId="0" borderId="12" xfId="0" applyFont="1" applyBorder="1"/>
    <xf numFmtId="0" fontId="7" fillId="0" borderId="13" xfId="0" applyFont="1" applyBorder="1"/>
    <xf numFmtId="0" fontId="6" fillId="2" borderId="14" xfId="0" applyFont="1" applyFill="1" applyBorder="1" applyAlignment="1">
      <alignment horizontal="left"/>
    </xf>
    <xf numFmtId="0" fontId="7" fillId="0" borderId="15" xfId="0" applyFont="1" applyBorder="1"/>
    <xf numFmtId="3" fontId="8" fillId="2" borderId="16" xfId="0" applyNumberFormat="1" applyFont="1" applyFill="1" applyBorder="1" applyAlignment="1">
      <alignment horizontal="center" wrapText="1"/>
    </xf>
    <xf numFmtId="0" fontId="7" fillId="0" borderId="17" xfId="0" applyFont="1" applyBorder="1"/>
    <xf numFmtId="0" fontId="7" fillId="0" borderId="18" xfId="0" applyFont="1" applyBorder="1"/>
    <xf numFmtId="0" fontId="6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3" fillId="2" borderId="10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</cellXfs>
  <cellStyles count="1">
    <cellStyle name="Normal" xfId="0" builtinId="0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info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forms_productos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forms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1895475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00"/>
  <sheetViews>
    <sheetView tabSelected="1" topLeftCell="B7" zoomScale="85" zoomScaleNormal="85" workbookViewId="0">
      <selection activeCell="J13" sqref="J13:N13"/>
    </sheetView>
  </sheetViews>
  <sheetFormatPr baseColWidth="10" defaultColWidth="12.6328125" defaultRowHeight="15" customHeight="1"/>
  <cols>
    <col min="1" max="1" width="2.7265625" customWidth="1"/>
    <col min="2" max="3" width="5" customWidth="1"/>
    <col min="4" max="4" width="13.6328125" customWidth="1"/>
    <col min="5" max="5" width="38.1796875" customWidth="1"/>
    <col min="6" max="6" width="18" customWidth="1"/>
    <col min="7" max="7" width="25.453125" customWidth="1"/>
    <col min="8" max="8" width="19" customWidth="1"/>
    <col min="9" max="9" width="5.6328125" customWidth="1"/>
    <col min="10" max="10" width="9.6328125" customWidth="1"/>
    <col min="11" max="11" width="6.7265625" customWidth="1"/>
    <col min="12" max="12" width="14.90625" customWidth="1"/>
    <col min="13" max="13" width="18" customWidth="1"/>
    <col min="14" max="14" width="18.90625" customWidth="1"/>
    <col min="15" max="26" width="10.6328125" customWidth="1"/>
  </cols>
  <sheetData>
    <row r="1" spans="2:14" ht="4.5" customHeight="1">
      <c r="M1" s="1"/>
    </row>
    <row r="2" spans="2:14" ht="12.75" customHeight="1">
      <c r="L2" s="54"/>
    </row>
    <row r="3" spans="2:14" ht="12.75" customHeight="1">
      <c r="L3" s="55"/>
    </row>
    <row r="4" spans="2:14" ht="12.75" customHeight="1"/>
    <row r="5" spans="2:14" ht="12.5" customHeight="1">
      <c r="L5" s="2"/>
    </row>
    <row r="6" spans="2:14" ht="19.5" customHeight="1">
      <c r="I6" s="3" t="str">
        <f>"ORDEN DE COMPRA No: "</f>
        <v xml:space="preserve">ORDEN DE COMPRA No: </v>
      </c>
      <c r="J6" s="3"/>
      <c r="K6" s="3"/>
      <c r="L6" s="3"/>
      <c r="M6" s="4" t="str">
        <f>Instancia!B2</f>
        <v>2-ABB_COLOMBIA_LTDA</v>
      </c>
    </row>
    <row r="7" spans="2:14" ht="6.75" customHeight="1"/>
    <row r="8" spans="2:14" ht="12.75" customHeight="1">
      <c r="B8" s="85" t="str">
        <f>"Proveedor: " &amp; Instancia!L2</f>
        <v>Proveedor: ABB_COLOMBIA_LTDA</v>
      </c>
      <c r="C8" s="86"/>
      <c r="D8" s="86"/>
      <c r="E8" s="86"/>
      <c r="F8" s="86"/>
      <c r="G8" s="87"/>
      <c r="H8" s="5"/>
      <c r="J8" s="85" t="s">
        <v>0</v>
      </c>
      <c r="K8" s="86"/>
      <c r="L8" s="86"/>
      <c r="M8" s="86"/>
      <c r="N8" s="88"/>
    </row>
    <row r="9" spans="2:14" ht="12.75" customHeight="1">
      <c r="B9" s="80" t="str">
        <f>"NIT/CC: " &amp; Instancia!M2</f>
        <v>NIT/CC: 901283882-1</v>
      </c>
      <c r="C9" s="81"/>
      <c r="D9" s="81"/>
      <c r="E9" s="81"/>
      <c r="F9" s="81"/>
      <c r="G9" s="81"/>
      <c r="H9" s="82"/>
      <c r="J9" s="80" t="s">
        <v>1</v>
      </c>
      <c r="K9" s="81"/>
      <c r="L9" s="81"/>
      <c r="M9" s="81"/>
      <c r="N9" s="82"/>
    </row>
    <row r="10" spans="2:14" ht="12.75" customHeight="1">
      <c r="B10" s="80" t="str">
        <f>"Ciudad: " &amp; Instancia!N2</f>
        <v>Ciudad: Bogotá</v>
      </c>
      <c r="C10" s="81"/>
      <c r="D10" s="81"/>
      <c r="E10" s="81"/>
      <c r="F10" s="81"/>
      <c r="G10" s="81"/>
      <c r="H10" s="82"/>
      <c r="J10" s="80" t="s">
        <v>2</v>
      </c>
      <c r="K10" s="81"/>
      <c r="L10" s="81"/>
      <c r="M10" s="81"/>
      <c r="N10" s="82"/>
    </row>
    <row r="11" spans="2:14" ht="12.75" customHeight="1">
      <c r="B11" s="80" t="str">
        <f>"Dirección: " &amp; Instancia!O2</f>
        <v>Dirección: CR 45 108 27 TO 1 P 12 (!) PARALELO 108</v>
      </c>
      <c r="C11" s="81"/>
      <c r="D11" s="81"/>
      <c r="E11" s="81"/>
      <c r="F11" s="81"/>
      <c r="G11" s="81"/>
      <c r="H11" s="82"/>
      <c r="J11" s="80" t="s">
        <v>3</v>
      </c>
      <c r="K11" s="81"/>
      <c r="L11" s="81"/>
      <c r="M11" s="81"/>
      <c r="N11" s="82"/>
    </row>
    <row r="12" spans="2:14" ht="12.75" hidden="1" customHeight="1">
      <c r="B12" s="80" t="s">
        <v>4</v>
      </c>
      <c r="C12" s="81"/>
      <c r="D12" s="81"/>
      <c r="E12" s="81"/>
      <c r="F12" s="81"/>
      <c r="G12" s="81"/>
      <c r="H12" s="82"/>
      <c r="J12" s="80" t="s">
        <v>5</v>
      </c>
      <c r="K12" s="81"/>
      <c r="L12" s="83"/>
      <c r="M12" s="84" t="s">
        <v>6</v>
      </c>
      <c r="N12" s="82"/>
    </row>
    <row r="13" spans="2:14" ht="22.5" customHeight="1">
      <c r="B13" s="69" t="str">
        <f>"Contacto: " &amp; Instancia!C2</f>
        <v>Contacto: DIEGO ZAPATA</v>
      </c>
      <c r="C13" s="70"/>
      <c r="D13" s="70"/>
      <c r="E13" s="71"/>
      <c r="F13" s="72"/>
      <c r="G13" s="70"/>
      <c r="H13" s="73"/>
      <c r="J13" s="74"/>
      <c r="K13" s="75"/>
      <c r="L13" s="75"/>
      <c r="M13" s="75"/>
      <c r="N13" s="76"/>
    </row>
    <row r="14" spans="2:14" ht="12.75" customHeight="1">
      <c r="B14" s="77" t="s">
        <v>7</v>
      </c>
      <c r="C14" s="62"/>
      <c r="D14" s="63"/>
      <c r="E14" s="78" t="s">
        <v>8</v>
      </c>
      <c r="F14" s="63"/>
      <c r="G14" s="78" t="s">
        <v>9</v>
      </c>
      <c r="H14" s="62"/>
      <c r="I14" s="63"/>
      <c r="J14" s="79" t="str">
        <f>"Entregar a Alterno: " &amp; Instancia!H2</f>
        <v>Entregar a Alterno: NA</v>
      </c>
      <c r="K14" s="62"/>
      <c r="L14" s="62"/>
      <c r="M14" s="62"/>
      <c r="N14" s="63"/>
    </row>
    <row r="15" spans="2:14" ht="12.75" customHeight="1">
      <c r="B15" s="67">
        <f>Instancia!E2</f>
        <v>45875</v>
      </c>
      <c r="C15" s="62"/>
      <c r="D15" s="63"/>
      <c r="E15" s="68" t="str">
        <f>Instancia!F2</f>
        <v>USD</v>
      </c>
      <c r="F15" s="63"/>
      <c r="G15" s="68" t="str">
        <f>Instancia!P2</f>
        <v>ANNI CARMONA</v>
      </c>
      <c r="H15" s="62"/>
      <c r="I15" s="63"/>
      <c r="J15" s="61" t="str">
        <f>"Entregar a: " &amp; Instancia!G2</f>
        <v>Entregar a: SUPLINDUSTRA SAS</v>
      </c>
      <c r="K15" s="62"/>
      <c r="L15" s="62"/>
      <c r="M15" s="62"/>
      <c r="N15" s="63"/>
    </row>
    <row r="16" spans="2:14" ht="12.75" customHeight="1">
      <c r="B16" s="64" t="str">
        <f>"Condiciones de pago: " &amp; Instancia!I2</f>
        <v>Condiciones de pago: CRÉDITO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/>
    </row>
    <row r="17" spans="2:15" ht="22.5" customHeight="1"/>
    <row r="18" spans="2:15" ht="24.75" customHeight="1">
      <c r="B18" s="6" t="s">
        <v>10</v>
      </c>
      <c r="C18" s="7"/>
      <c r="D18" s="7" t="s">
        <v>11</v>
      </c>
      <c r="E18" s="56" t="s">
        <v>41</v>
      </c>
      <c r="F18" s="7" t="s">
        <v>12</v>
      </c>
      <c r="G18" s="56" t="s">
        <v>42</v>
      </c>
      <c r="H18" s="7" t="s">
        <v>13</v>
      </c>
      <c r="I18" s="7" t="s">
        <v>14</v>
      </c>
      <c r="J18" s="7" t="s">
        <v>15</v>
      </c>
      <c r="K18" s="7" t="s">
        <v>16</v>
      </c>
      <c r="L18" s="7" t="s">
        <v>17</v>
      </c>
      <c r="M18" s="7" t="s">
        <v>18</v>
      </c>
      <c r="N18" s="7" t="s">
        <v>19</v>
      </c>
    </row>
    <row r="19" spans="2:15" ht="112.5" customHeight="1">
      <c r="B19" s="8"/>
      <c r="C19" s="9"/>
      <c r="D19" s="10"/>
      <c r="E19" s="11"/>
      <c r="F19" s="11"/>
      <c r="G19" s="57"/>
      <c r="H19" s="13"/>
      <c r="I19" s="11"/>
      <c r="J19" s="11"/>
      <c r="K19" s="11"/>
      <c r="L19" s="14"/>
      <c r="M19" s="11"/>
      <c r="N19" s="15"/>
    </row>
    <row r="20" spans="2:15" ht="112.5" customHeight="1">
      <c r="B20" s="8"/>
      <c r="C20" s="9"/>
      <c r="D20" s="11"/>
      <c r="E20" s="12"/>
      <c r="F20" s="11"/>
      <c r="G20" s="12"/>
      <c r="H20" s="12"/>
      <c r="I20" s="11"/>
      <c r="J20" s="11"/>
      <c r="K20" s="11"/>
      <c r="L20" s="14"/>
      <c r="M20" s="12"/>
      <c r="N20" s="16"/>
    </row>
    <row r="21" spans="2:15" ht="112.5" customHeight="1">
      <c r="B21" s="8"/>
      <c r="C21" s="9"/>
      <c r="D21" s="11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2:15" ht="112.5" customHeight="1">
      <c r="B22" s="8"/>
      <c r="C22" s="9"/>
      <c r="D22" s="11"/>
      <c r="E22" s="12"/>
      <c r="F22" s="11"/>
      <c r="G22" s="11"/>
      <c r="H22" s="11"/>
      <c r="I22" s="11"/>
      <c r="J22" s="11"/>
      <c r="K22" s="11"/>
      <c r="L22" s="11"/>
      <c r="M22" s="12"/>
      <c r="N22" s="12"/>
    </row>
    <row r="23" spans="2:15" ht="112.5" customHeight="1">
      <c r="B23" s="8"/>
      <c r="C23" s="9"/>
      <c r="D23" s="11"/>
      <c r="E23" s="12"/>
      <c r="F23" s="11"/>
      <c r="G23" s="12"/>
      <c r="H23" s="12"/>
      <c r="I23" s="11"/>
      <c r="J23" s="11"/>
      <c r="K23" s="11"/>
      <c r="L23" s="14"/>
      <c r="M23" s="12"/>
      <c r="N23" s="16"/>
      <c r="O23" s="18"/>
    </row>
    <row r="24" spans="2:15" ht="112.5" customHeight="1">
      <c r="B24" s="8"/>
      <c r="C24" s="9"/>
      <c r="D24" s="11"/>
      <c r="E24" s="12"/>
      <c r="F24" s="19"/>
      <c r="G24" s="19"/>
      <c r="H24" s="19"/>
      <c r="I24" s="19"/>
      <c r="J24" s="20"/>
      <c r="K24" s="19"/>
      <c r="L24" s="19"/>
      <c r="M24" s="21"/>
      <c r="N24" s="22"/>
    </row>
    <row r="25" spans="2:15" ht="112.5" customHeight="1">
      <c r="B25" s="8"/>
      <c r="C25" s="9"/>
      <c r="D25" s="11"/>
      <c r="E25" s="12"/>
      <c r="F25" s="11"/>
      <c r="G25" s="23"/>
      <c r="H25" s="12"/>
      <c r="I25" s="11"/>
      <c r="J25" s="11"/>
      <c r="K25" s="24"/>
      <c r="L25" s="25"/>
      <c r="M25" s="26"/>
      <c r="N25" s="27"/>
    </row>
    <row r="26" spans="2:15" ht="112.5" customHeight="1">
      <c r="B26" s="28"/>
      <c r="C26" s="29"/>
      <c r="D26" s="11"/>
      <c r="E26" s="12"/>
      <c r="F26" s="11"/>
      <c r="G26" s="12"/>
      <c r="H26" s="12"/>
      <c r="I26" s="11"/>
      <c r="J26" s="11"/>
      <c r="K26" s="24"/>
      <c r="L26" s="25"/>
      <c r="M26" s="26"/>
      <c r="N26" s="30"/>
    </row>
    <row r="27" spans="2:15" ht="112.5" customHeight="1">
      <c r="B27" s="28"/>
      <c r="C27" s="29"/>
      <c r="D27" s="11"/>
      <c r="E27" s="12"/>
      <c r="F27" s="9"/>
      <c r="G27" s="12"/>
      <c r="H27" s="12"/>
      <c r="I27" s="9"/>
      <c r="J27" s="9"/>
      <c r="K27" s="31"/>
      <c r="L27" s="32"/>
      <c r="M27" s="26"/>
      <c r="N27" s="30"/>
    </row>
    <row r="28" spans="2:15" ht="112.5" hidden="1" customHeight="1">
      <c r="B28" s="28"/>
      <c r="C28" s="29"/>
      <c r="D28" s="65"/>
      <c r="E28" s="66"/>
      <c r="F28" s="65"/>
      <c r="G28" s="66"/>
      <c r="H28" s="66"/>
      <c r="I28" s="65"/>
      <c r="J28" s="65"/>
      <c r="K28" s="31"/>
      <c r="L28" s="58"/>
      <c r="M28" s="26"/>
      <c r="N28" s="60"/>
    </row>
    <row r="29" spans="2:15" ht="112.5" hidden="1" customHeight="1">
      <c r="B29" s="28"/>
      <c r="C29" s="29"/>
      <c r="D29" s="59"/>
      <c r="E29" s="59"/>
      <c r="F29" s="59"/>
      <c r="G29" s="59"/>
      <c r="H29" s="59"/>
      <c r="I29" s="59"/>
      <c r="J29" s="59"/>
      <c r="K29" s="31"/>
      <c r="L29" s="59"/>
      <c r="M29" s="26"/>
      <c r="N29" s="59"/>
    </row>
    <row r="30" spans="2:15" ht="112.5" customHeight="1">
      <c r="B30" s="28"/>
      <c r="C30" s="29"/>
      <c r="D30" s="11"/>
      <c r="E30" s="12"/>
      <c r="F30" s="9"/>
      <c r="G30" s="12"/>
      <c r="H30" s="33"/>
      <c r="I30" s="9"/>
      <c r="J30" s="9"/>
      <c r="K30" s="31"/>
      <c r="L30" s="32"/>
      <c r="M30" s="26"/>
      <c r="N30" s="35"/>
    </row>
    <row r="31" spans="2:15" ht="112.5" customHeight="1">
      <c r="B31" s="28"/>
      <c r="C31" s="29"/>
      <c r="D31" s="11"/>
      <c r="E31" s="12"/>
      <c r="F31" s="9"/>
      <c r="G31" s="12"/>
      <c r="H31" s="33"/>
      <c r="I31" s="9"/>
      <c r="J31" s="9"/>
      <c r="K31" s="31"/>
      <c r="L31" s="32"/>
      <c r="M31" s="26"/>
      <c r="N31" s="35"/>
    </row>
    <row r="32" spans="2:15" ht="112.5" customHeight="1">
      <c r="B32" s="28"/>
      <c r="C32" s="29"/>
      <c r="D32" s="11"/>
      <c r="E32" s="12"/>
      <c r="F32" s="9"/>
      <c r="G32" s="12"/>
      <c r="H32" s="33"/>
      <c r="I32" s="9"/>
      <c r="J32" s="9"/>
      <c r="K32" s="31"/>
      <c r="L32" s="34"/>
      <c r="M32" s="26"/>
      <c r="N32" s="35"/>
    </row>
    <row r="33" spans="2:14" ht="112.5" customHeight="1">
      <c r="B33" s="36"/>
      <c r="C33" s="37"/>
      <c r="D33" s="11"/>
      <c r="E33" s="12"/>
      <c r="F33" s="9"/>
      <c r="G33" s="12"/>
      <c r="H33" s="33"/>
      <c r="I33" s="9"/>
      <c r="J33" s="9"/>
      <c r="K33" s="31"/>
      <c r="L33" s="34"/>
      <c r="M33" s="26"/>
      <c r="N33" s="35"/>
    </row>
    <row r="34" spans="2:14" ht="112.5" customHeight="1">
      <c r="B34" s="28"/>
      <c r="C34" s="29"/>
      <c r="D34" s="11"/>
      <c r="E34" s="12"/>
      <c r="F34" s="9"/>
      <c r="G34" s="12"/>
      <c r="H34" s="33"/>
      <c r="I34" s="9"/>
      <c r="J34" s="9"/>
      <c r="K34" s="31"/>
      <c r="L34" s="34"/>
      <c r="M34" s="26"/>
      <c r="N34" s="35"/>
    </row>
    <row r="35" spans="2:14" ht="112.5" customHeight="1">
      <c r="B35" s="36"/>
      <c r="C35" s="37"/>
      <c r="D35" s="9"/>
      <c r="E35" s="9"/>
      <c r="F35" s="9"/>
      <c r="G35" s="33"/>
      <c r="H35" s="33"/>
      <c r="I35" s="9"/>
      <c r="J35" s="9"/>
      <c r="K35" s="31"/>
      <c r="L35" s="34"/>
      <c r="M35" s="26"/>
      <c r="N35" s="35"/>
    </row>
    <row r="36" spans="2:14" ht="112.5" customHeight="1">
      <c r="B36" s="28"/>
      <c r="C36" s="29"/>
      <c r="D36" s="11"/>
      <c r="E36" s="12"/>
      <c r="F36" s="9"/>
      <c r="G36" s="12"/>
      <c r="H36" s="33"/>
      <c r="I36" s="9"/>
      <c r="J36" s="9"/>
      <c r="K36" s="31"/>
      <c r="L36" s="34"/>
      <c r="M36" s="26"/>
      <c r="N36" s="35"/>
    </row>
    <row r="37" spans="2:14" ht="112.5" customHeight="1">
      <c r="B37" s="29"/>
      <c r="C37" s="29"/>
      <c r="D37" s="38"/>
      <c r="E37" s="39"/>
      <c r="F37" s="29"/>
      <c r="G37" s="39"/>
      <c r="H37" s="37"/>
      <c r="I37" s="29"/>
      <c r="J37" s="29"/>
      <c r="K37" s="40"/>
      <c r="L37" s="41"/>
      <c r="M37" s="42"/>
      <c r="N37" s="43"/>
    </row>
    <row r="38" spans="2:14" ht="112.5" customHeight="1">
      <c r="B38" s="29"/>
      <c r="C38" s="29"/>
      <c r="D38" s="29"/>
      <c r="E38" s="29"/>
      <c r="F38" s="29"/>
      <c r="G38" s="37"/>
      <c r="H38" s="37"/>
      <c r="I38" s="29"/>
      <c r="J38" s="29"/>
      <c r="K38" s="40"/>
      <c r="L38" s="41"/>
      <c r="M38" s="42"/>
      <c r="N38" s="43"/>
    </row>
    <row r="39" spans="2:14" ht="112.5" customHeight="1">
      <c r="B39" s="29"/>
      <c r="C39" s="29"/>
      <c r="D39" s="29"/>
      <c r="E39" s="29"/>
      <c r="F39" s="29"/>
      <c r="G39" s="37"/>
      <c r="H39" s="37"/>
      <c r="I39" s="29"/>
      <c r="J39" s="29"/>
      <c r="K39" s="40"/>
      <c r="L39" s="41"/>
      <c r="M39" s="42"/>
      <c r="N39" s="44"/>
    </row>
    <row r="40" spans="2:14" ht="112.5" customHeight="1">
      <c r="B40" s="29"/>
      <c r="C40" s="29"/>
      <c r="D40" s="29"/>
      <c r="E40" s="29"/>
      <c r="F40" s="29"/>
      <c r="G40" s="37"/>
      <c r="H40" s="37"/>
      <c r="I40" s="29"/>
      <c r="J40" s="29"/>
      <c r="K40" s="40"/>
      <c r="L40" s="41"/>
      <c r="M40" s="40"/>
      <c r="N40" s="45"/>
    </row>
    <row r="41" spans="2:14" ht="112.5" customHeight="1">
      <c r="B41" s="29"/>
      <c r="C41" s="29"/>
      <c r="D41" s="29"/>
      <c r="E41" s="29"/>
      <c r="F41" s="29"/>
      <c r="G41" s="37"/>
      <c r="H41" s="37"/>
      <c r="I41" s="29"/>
      <c r="J41" s="29"/>
      <c r="K41" s="40"/>
      <c r="L41" s="41"/>
      <c r="M41" s="40"/>
      <c r="N41" s="45"/>
    </row>
    <row r="42" spans="2:14" ht="112.5" customHeight="1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2:14" ht="112.5" customHeight="1">
      <c r="B43" s="46"/>
      <c r="C43" s="46"/>
      <c r="D43" s="46"/>
      <c r="E43" s="46"/>
      <c r="F43" s="46"/>
      <c r="G43" s="46"/>
      <c r="H43" s="40"/>
      <c r="I43" s="40"/>
      <c r="J43" s="40"/>
      <c r="K43" s="40"/>
      <c r="L43" s="47"/>
      <c r="M43" s="47"/>
      <c r="N43" s="48"/>
    </row>
    <row r="44" spans="2:14" ht="112.5" customHeight="1">
      <c r="B44" s="46"/>
      <c r="C44" s="46"/>
      <c r="D44" s="46"/>
      <c r="E44" s="46"/>
      <c r="F44" s="46"/>
      <c r="G44" s="46"/>
      <c r="H44" s="40"/>
      <c r="K44" s="40"/>
      <c r="L44" s="47"/>
      <c r="M44" s="47"/>
      <c r="N44" s="49"/>
    </row>
    <row r="45" spans="2:14" ht="112.5" customHeight="1">
      <c r="B45" s="46"/>
      <c r="C45" s="46"/>
      <c r="D45" s="46"/>
      <c r="E45" s="46"/>
      <c r="F45" s="46"/>
      <c r="G45" s="46"/>
      <c r="H45" s="40"/>
      <c r="I45" s="40"/>
      <c r="J45" s="40"/>
      <c r="K45" s="40"/>
      <c r="L45" s="47"/>
      <c r="M45" s="47"/>
      <c r="N45" s="49"/>
    </row>
    <row r="46" spans="2:14" ht="112.5" customHeight="1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7"/>
      <c r="M46" s="47"/>
      <c r="N46" s="48"/>
    </row>
    <row r="47" spans="2:14" ht="112.5" customHeight="1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7"/>
      <c r="M47" s="47"/>
      <c r="N47" s="47"/>
    </row>
    <row r="48" spans="2:14" ht="112.5" customHeight="1"/>
    <row r="49" ht="112.5" customHeight="1"/>
    <row r="50" ht="112.5" customHeight="1"/>
    <row r="51" ht="112.5" customHeight="1"/>
    <row r="52" ht="112.5" customHeight="1"/>
    <row r="53" ht="112.5" customHeight="1"/>
    <row r="54" ht="112.5" customHeight="1"/>
    <row r="55" ht="112.5" customHeight="1"/>
    <row r="56" ht="112.5" customHeight="1"/>
    <row r="57" ht="112.5" customHeight="1"/>
    <row r="58" ht="112.5" customHeight="1"/>
    <row r="59" ht="112.5" customHeight="1"/>
    <row r="60" ht="112.5" customHeight="1"/>
    <row r="61" ht="112.5" customHeight="1"/>
    <row r="62" ht="112.5" customHeight="1"/>
    <row r="63" ht="112.5" customHeight="1"/>
    <row r="64" ht="112.5" customHeight="1"/>
    <row r="65" ht="112.5" customHeight="1"/>
    <row r="66" ht="112.5" customHeight="1"/>
    <row r="67" ht="112.5" customHeight="1"/>
    <row r="68" ht="112.5" customHeight="1"/>
    <row r="69" ht="112.5" customHeight="1"/>
    <row r="70" ht="112.5" customHeight="1"/>
    <row r="71" ht="112.5" customHeight="1"/>
    <row r="72" ht="112.5" customHeight="1"/>
    <row r="73" ht="112.5" customHeight="1"/>
    <row r="74" ht="112.5" customHeight="1"/>
    <row r="75" ht="112.5" customHeight="1"/>
    <row r="76" ht="112.5" customHeight="1"/>
    <row r="77" ht="112.5" customHeight="1"/>
    <row r="78" ht="112.5" customHeight="1"/>
    <row r="79" ht="112.5" customHeight="1"/>
    <row r="80" ht="112.5" customHeight="1"/>
    <row r="81" ht="112.5" customHeight="1"/>
    <row r="82" ht="112.5" customHeight="1"/>
    <row r="83" ht="112.5" customHeight="1"/>
    <row r="84" ht="112.5" customHeight="1"/>
    <row r="85" ht="112.5" customHeight="1"/>
    <row r="86" ht="112.5" customHeight="1"/>
    <row r="87" ht="112.5" customHeight="1"/>
    <row r="88" ht="112.5" customHeight="1"/>
    <row r="89" ht="112.5" customHeight="1"/>
    <row r="90" ht="112.5" customHeight="1"/>
    <row r="91" ht="112.5" customHeight="1"/>
    <row r="92" ht="112.5" customHeight="1"/>
    <row r="93" ht="112.5" customHeight="1"/>
    <row r="94" ht="112.5" customHeight="1"/>
    <row r="95" ht="112.5" customHeight="1"/>
    <row r="96" ht="112.5" customHeight="1"/>
    <row r="97" ht="112.5" customHeight="1"/>
    <row r="98" ht="112.5" customHeight="1"/>
    <row r="99" ht="112.5" customHeight="1"/>
    <row r="100" ht="112.5" customHeight="1"/>
    <row r="101" ht="112.5" customHeight="1"/>
    <row r="102" ht="112.5" customHeight="1"/>
    <row r="103" ht="112.5" customHeight="1"/>
    <row r="104" ht="112.5" customHeight="1"/>
    <row r="105" ht="112.5" customHeight="1"/>
    <row r="106" ht="112.5" customHeight="1"/>
    <row r="107" ht="112.5" customHeight="1"/>
    <row r="108" ht="112.5" customHeight="1"/>
    <row r="109" ht="112.5" customHeight="1"/>
    <row r="110" ht="112.5" customHeight="1"/>
    <row r="111" ht="112.5" customHeight="1"/>
    <row r="112" ht="112.5" customHeight="1"/>
    <row r="113" ht="112.5" customHeight="1"/>
    <row r="114" ht="112.5" customHeight="1"/>
    <row r="115" ht="112.5" customHeight="1"/>
    <row r="116" ht="112.5" customHeight="1"/>
    <row r="117" ht="112.5" customHeight="1"/>
    <row r="118" ht="112.5" customHeight="1"/>
    <row r="119" ht="112.5" customHeight="1"/>
    <row r="120" ht="112.5" customHeight="1"/>
    <row r="121" ht="112.5" customHeight="1"/>
    <row r="122" ht="112.5" customHeight="1"/>
    <row r="123" ht="112.5" customHeight="1"/>
    <row r="124" ht="112.5" customHeight="1"/>
    <row r="125" ht="112.5" customHeight="1"/>
    <row r="126" ht="112.5" customHeight="1"/>
    <row r="127" ht="112.5" customHeight="1"/>
    <row r="128" ht="112.5" customHeight="1"/>
    <row r="129" ht="112.5" customHeight="1"/>
    <row r="130" ht="112.5" customHeight="1"/>
    <row r="131" ht="112.5" customHeight="1"/>
    <row r="132" ht="112.5" customHeight="1"/>
    <row r="133" ht="112.5" customHeight="1"/>
    <row r="134" ht="112.5" customHeight="1"/>
    <row r="135" ht="112.5" customHeight="1"/>
    <row r="136" ht="112.5" customHeight="1"/>
    <row r="137" ht="112.5" customHeight="1"/>
    <row r="138" ht="112.5" customHeight="1"/>
    <row r="139" ht="112.5" customHeight="1"/>
    <row r="140" ht="112.5" customHeight="1"/>
    <row r="141" ht="112.5" customHeight="1"/>
    <row r="142" ht="112.5" customHeight="1"/>
    <row r="143" ht="112.5" customHeight="1"/>
    <row r="144" ht="112.5" customHeight="1"/>
    <row r="145" ht="112.5" customHeight="1"/>
    <row r="146" ht="112.5" customHeight="1"/>
    <row r="147" ht="112.5" customHeight="1"/>
    <row r="148" ht="112.5" customHeight="1"/>
    <row r="149" ht="112.5" customHeight="1"/>
    <row r="150" ht="112.5" customHeight="1"/>
    <row r="151" ht="112.5" customHeight="1"/>
    <row r="152" ht="112.5" customHeight="1"/>
    <row r="153" ht="112.5" customHeight="1"/>
    <row r="154" ht="112.5" customHeight="1"/>
    <row r="155" ht="112.5" customHeight="1"/>
    <row r="156" ht="112.5" customHeight="1"/>
    <row r="157" ht="112.5" customHeight="1"/>
    <row r="158" ht="112.5" customHeight="1"/>
    <row r="159" ht="112.5" customHeight="1"/>
    <row r="160" ht="112.5" customHeight="1"/>
    <row r="161" ht="112.5" customHeight="1"/>
    <row r="162" ht="112.5" customHeight="1"/>
    <row r="163" ht="112.5" customHeight="1"/>
    <row r="164" ht="112.5" customHeight="1"/>
    <row r="165" ht="112.5" customHeight="1"/>
    <row r="166" ht="112.5" customHeight="1"/>
    <row r="167" ht="112.5" customHeight="1"/>
    <row r="168" ht="112.5" customHeight="1"/>
    <row r="169" ht="112.5" customHeight="1"/>
    <row r="170" ht="112.5" customHeight="1"/>
    <row r="171" ht="112.5" customHeight="1"/>
    <row r="172" ht="112.5" customHeight="1"/>
    <row r="173" ht="112.5" customHeight="1"/>
    <row r="174" ht="112.5" customHeight="1"/>
    <row r="175" ht="112.5" customHeight="1"/>
    <row r="176" ht="112.5" customHeight="1"/>
    <row r="177" ht="112.5" customHeight="1"/>
    <row r="178" ht="112.5" customHeight="1"/>
    <row r="179" ht="112.5" customHeight="1"/>
    <row r="180" ht="112.5" customHeight="1"/>
    <row r="181" ht="112.5" customHeight="1"/>
    <row r="182" ht="112.5" customHeight="1"/>
    <row r="183" ht="112.5" customHeight="1"/>
    <row r="184" ht="112.5" customHeight="1"/>
    <row r="185" ht="112.5" customHeight="1"/>
    <row r="186" ht="112.5" customHeight="1"/>
    <row r="187" ht="112.5" customHeight="1"/>
    <row r="188" ht="112.5" customHeight="1"/>
    <row r="189" ht="112.5" customHeight="1"/>
    <row r="190" ht="112.5" customHeight="1"/>
    <row r="191" ht="112.5" customHeight="1"/>
    <row r="192" ht="112.5" customHeight="1"/>
    <row r="193" ht="112.5" customHeight="1"/>
    <row r="194" ht="112.5" customHeight="1"/>
    <row r="195" ht="112.5" customHeight="1"/>
    <row r="196" ht="112.5" customHeight="1"/>
    <row r="197" ht="112.5" customHeight="1"/>
    <row r="198" ht="112.5" customHeight="1"/>
    <row r="199" ht="112.5" customHeight="1"/>
    <row r="200" ht="112.5" customHeight="1"/>
    <row r="201" ht="112.5" customHeight="1"/>
    <row r="202" ht="112.5" customHeight="1"/>
    <row r="203" ht="112.5" customHeight="1"/>
    <row r="204" ht="112.5" customHeight="1"/>
    <row r="205" ht="112.5" customHeight="1"/>
    <row r="206" ht="112.5" customHeight="1"/>
    <row r="207" ht="112.5" customHeight="1"/>
    <row r="208" ht="112.5" customHeight="1"/>
    <row r="209" ht="112.5" customHeight="1"/>
    <row r="210" ht="112.5" customHeight="1"/>
    <row r="211" ht="112.5" customHeight="1"/>
    <row r="212" ht="112.5" customHeight="1"/>
    <row r="213" ht="112.5" customHeight="1"/>
    <row r="214" ht="112.5" customHeight="1"/>
    <row r="215" ht="112.5" customHeight="1"/>
    <row r="216" ht="112.5" customHeight="1"/>
    <row r="217" ht="112.5" customHeight="1"/>
    <row r="218" ht="112.5" customHeight="1"/>
    <row r="219" ht="112.5" customHeight="1"/>
    <row r="220" ht="112.5" customHeight="1"/>
    <row r="221" ht="112.5" customHeight="1"/>
    <row r="222" ht="112.5" customHeight="1"/>
    <row r="223" ht="112.5" customHeight="1"/>
    <row r="224" ht="112.5" customHeight="1"/>
    <row r="225" ht="112.5" customHeight="1"/>
    <row r="226" ht="112.5" customHeight="1"/>
    <row r="227" ht="112.5" customHeight="1"/>
    <row r="228" ht="112.5" customHeight="1"/>
    <row r="229" ht="112.5" customHeight="1"/>
    <row r="230" ht="112.5" customHeight="1"/>
    <row r="231" ht="112.5" customHeight="1"/>
    <row r="232" ht="112.5" customHeight="1"/>
    <row r="233" ht="112.5" customHeight="1"/>
    <row r="234" ht="112.5" customHeight="1"/>
    <row r="235" ht="112.5" customHeight="1"/>
    <row r="236" ht="112.5" customHeight="1"/>
    <row r="237" ht="112.5" customHeight="1"/>
    <row r="238" ht="112.5" customHeight="1"/>
    <row r="239" ht="112.5" customHeight="1"/>
    <row r="240" ht="112.5" customHeight="1"/>
    <row r="241" ht="112.5" customHeight="1"/>
    <row r="242" ht="112.5" customHeight="1"/>
    <row r="243" ht="112.5" customHeight="1"/>
    <row r="244" ht="112.5" customHeight="1"/>
    <row r="245" ht="112.5" customHeight="1"/>
    <row r="246" ht="112.5" customHeight="1"/>
    <row r="247" ht="112.5" customHeight="1"/>
    <row r="248" ht="112.5" customHeight="1"/>
    <row r="249" ht="112.5" customHeight="1"/>
    <row r="250" ht="112.5" customHeight="1"/>
    <row r="251" ht="112.5" customHeight="1"/>
    <row r="252" ht="112.5" customHeight="1"/>
    <row r="253" ht="112.5" customHeight="1"/>
    <row r="254" ht="112.5" customHeight="1"/>
    <row r="255" ht="112.5" customHeight="1"/>
    <row r="256" ht="112.5" customHeight="1"/>
    <row r="257" ht="112.5" customHeight="1"/>
    <row r="258" ht="112.5" customHeight="1"/>
    <row r="259" ht="112.5" customHeight="1"/>
    <row r="260" ht="112.5" customHeight="1"/>
    <row r="261" ht="112.5" customHeight="1"/>
    <row r="262" ht="112.5" customHeight="1"/>
    <row r="263" ht="112.5" customHeight="1"/>
    <row r="264" ht="112.5" customHeight="1"/>
    <row r="265" ht="112.5" customHeight="1"/>
    <row r="266" ht="112.5" customHeight="1"/>
    <row r="267" ht="112.5" customHeight="1"/>
    <row r="268" ht="112.5" customHeight="1"/>
    <row r="269" ht="112.5" customHeight="1"/>
    <row r="270" ht="112.5" customHeight="1"/>
    <row r="271" ht="112.5" customHeight="1"/>
    <row r="272" ht="112.5" customHeight="1"/>
    <row r="273" ht="112.5" customHeight="1"/>
    <row r="274" ht="112.5" customHeight="1"/>
    <row r="275" ht="112.5" customHeight="1"/>
    <row r="276" ht="112.5" customHeight="1"/>
    <row r="277" ht="112.5" customHeight="1"/>
    <row r="278" ht="112.5" customHeight="1"/>
    <row r="279" ht="112.5" customHeight="1"/>
    <row r="280" ht="112.5" customHeight="1"/>
    <row r="281" ht="112.5" customHeight="1"/>
    <row r="282" ht="112.5" customHeight="1"/>
    <row r="283" ht="112.5" customHeight="1"/>
    <row r="284" ht="112.5" customHeight="1"/>
    <row r="285" ht="112.5" customHeight="1"/>
    <row r="286" ht="112.5" customHeight="1"/>
    <row r="287" ht="112.5" customHeight="1"/>
    <row r="288" ht="112.5" customHeight="1"/>
    <row r="289" ht="112.5" customHeight="1"/>
    <row r="290" ht="112.5" customHeight="1"/>
    <row r="291" ht="112.5" customHeight="1"/>
    <row r="292" ht="112.5" customHeight="1"/>
    <row r="293" ht="112.5" customHeight="1"/>
    <row r="294" ht="112.5" customHeight="1"/>
    <row r="295" ht="112.5" customHeight="1"/>
    <row r="296" ht="112.5" customHeight="1"/>
    <row r="297" ht="112.5" customHeight="1"/>
    <row r="298" ht="112.5" customHeight="1"/>
    <row r="299" ht="112.5" customHeight="1"/>
    <row r="300" ht="112.5" customHeight="1"/>
    <row r="301" ht="112.5" customHeight="1"/>
    <row r="302" ht="112.5" customHeight="1"/>
    <row r="303" ht="112.5" customHeight="1"/>
    <row r="304" ht="112.5" customHeight="1"/>
    <row r="305" ht="112.5" customHeight="1"/>
    <row r="306" ht="112.5" customHeight="1"/>
    <row r="307" ht="112.5" customHeight="1"/>
    <row r="308" ht="112.5" customHeight="1"/>
    <row r="309" ht="112.5" customHeight="1"/>
    <row r="310" ht="112.5" customHeight="1"/>
    <row r="311" ht="112.5" customHeight="1"/>
    <row r="312" ht="112.5" customHeight="1"/>
    <row r="313" ht="112.5" customHeight="1"/>
    <row r="314" ht="112.5" customHeight="1"/>
    <row r="315" ht="112.5" customHeight="1"/>
    <row r="316" ht="112.5" customHeight="1"/>
    <row r="317" ht="112.5" customHeight="1"/>
    <row r="318" ht="112.5" customHeight="1"/>
    <row r="319" ht="112.5" customHeight="1"/>
    <row r="320" ht="112.5" customHeight="1"/>
    <row r="321" ht="112.5" customHeight="1"/>
    <row r="322" ht="112.5" customHeight="1"/>
    <row r="323" ht="112.5" customHeight="1"/>
    <row r="324" ht="112.5" customHeight="1"/>
    <row r="325" ht="112.5" customHeight="1"/>
    <row r="326" ht="112.5" customHeight="1"/>
    <row r="327" ht="112.5" customHeight="1"/>
    <row r="328" ht="112.5" customHeight="1"/>
    <row r="329" ht="112.5" customHeight="1"/>
    <row r="330" ht="112.5" customHeight="1"/>
    <row r="331" ht="112.5" customHeight="1"/>
    <row r="332" ht="112.5" customHeight="1"/>
    <row r="333" ht="112.5" customHeight="1"/>
    <row r="334" ht="112.5" customHeight="1"/>
    <row r="335" ht="112.5" customHeight="1"/>
    <row r="336" ht="112.5" customHeight="1"/>
    <row r="337" ht="112.5" customHeight="1"/>
    <row r="338" ht="112.5" customHeight="1"/>
    <row r="339" ht="112.5" customHeight="1"/>
    <row r="340" ht="112.5" customHeight="1"/>
    <row r="341" ht="112.5" customHeight="1"/>
    <row r="342" ht="112.5" customHeight="1"/>
    <row r="343" ht="112.5" customHeight="1"/>
    <row r="344" ht="112.5" customHeight="1"/>
    <row r="345" ht="112.5" customHeight="1"/>
    <row r="346" ht="112.5" customHeight="1"/>
    <row r="347" ht="112.5" customHeight="1"/>
    <row r="348" ht="112.5" customHeight="1"/>
    <row r="349" ht="112.5" customHeight="1"/>
    <row r="350" ht="112.5" customHeight="1"/>
    <row r="351" ht="112.5" customHeight="1"/>
    <row r="352" ht="112.5" customHeight="1"/>
    <row r="353" ht="112.5" customHeight="1"/>
    <row r="354" ht="112.5" customHeight="1"/>
    <row r="355" ht="112.5" customHeight="1"/>
    <row r="356" ht="112.5" customHeight="1"/>
    <row r="357" ht="112.5" customHeight="1"/>
    <row r="358" ht="112.5" customHeight="1"/>
    <row r="359" ht="112.5" customHeight="1"/>
    <row r="360" ht="112.5" customHeight="1"/>
    <row r="361" ht="112.5" customHeight="1"/>
    <row r="362" ht="112.5" customHeight="1"/>
    <row r="363" ht="112.5" customHeight="1"/>
    <row r="364" ht="112.5" customHeight="1"/>
    <row r="365" ht="112.5" customHeight="1"/>
    <row r="366" ht="112.5" customHeight="1"/>
    <row r="367" ht="112.5" customHeight="1"/>
    <row r="368" ht="112.5" customHeight="1"/>
    <row r="369" ht="112.5" customHeight="1"/>
    <row r="370" ht="112.5" customHeight="1"/>
    <row r="371" ht="112.5" customHeight="1"/>
    <row r="372" ht="112.5" customHeight="1"/>
    <row r="373" ht="112.5" customHeight="1"/>
    <row r="374" ht="112.5" customHeight="1"/>
    <row r="375" ht="112.5" customHeight="1"/>
    <row r="376" ht="112.5" customHeight="1"/>
    <row r="377" ht="112.5" customHeight="1"/>
    <row r="378" ht="112.5" customHeight="1"/>
    <row r="379" ht="112.5" customHeight="1"/>
    <row r="380" ht="112.5" customHeight="1"/>
    <row r="381" ht="112.5" customHeight="1"/>
    <row r="382" ht="112.5" customHeight="1"/>
    <row r="383" ht="112.5" customHeight="1"/>
    <row r="384" ht="112.5" customHeight="1"/>
    <row r="385" ht="112.5" customHeight="1"/>
    <row r="386" ht="112.5" customHeight="1"/>
    <row r="387" ht="112.5" customHeight="1"/>
    <row r="388" ht="112.5" customHeight="1"/>
    <row r="389" ht="112.5" customHeight="1"/>
    <row r="390" ht="112.5" customHeight="1"/>
    <row r="391" ht="112.5" customHeight="1"/>
    <row r="392" ht="112.5" customHeight="1"/>
    <row r="393" ht="112.5" customHeight="1"/>
    <row r="394" ht="112.5" customHeight="1"/>
    <row r="395" ht="112.5" customHeight="1"/>
    <row r="396" ht="112.5" customHeight="1"/>
    <row r="397" ht="112.5" customHeight="1"/>
    <row r="398" ht="112.5" customHeight="1"/>
    <row r="399" ht="112.5" customHeight="1"/>
    <row r="400" ht="112.5" customHeight="1"/>
    <row r="401" ht="112.5" customHeight="1"/>
    <row r="402" ht="112.5" customHeight="1"/>
    <row r="403" ht="112.5" customHeight="1"/>
    <row r="404" ht="112.5" customHeight="1"/>
    <row r="405" ht="112.5" customHeight="1"/>
    <row r="406" ht="112.5" customHeight="1"/>
    <row r="407" ht="112.5" customHeight="1"/>
    <row r="408" ht="112.5" customHeight="1"/>
    <row r="409" ht="112.5" customHeight="1"/>
    <row r="410" ht="112.5" customHeight="1"/>
    <row r="411" ht="112.5" customHeight="1"/>
    <row r="412" ht="112.5" customHeight="1"/>
    <row r="413" ht="112.5" customHeight="1"/>
    <row r="414" ht="112.5" customHeight="1"/>
    <row r="415" ht="112.5" customHeight="1"/>
    <row r="416" ht="112.5" customHeight="1"/>
    <row r="417" ht="112.5" customHeight="1"/>
    <row r="418" ht="112.5" customHeight="1"/>
    <row r="419" ht="112.5" customHeight="1"/>
    <row r="420" ht="112.5" customHeight="1"/>
    <row r="421" ht="112.5" customHeight="1"/>
    <row r="422" ht="112.5" customHeight="1"/>
    <row r="423" ht="112.5" customHeight="1"/>
    <row r="424" ht="112.5" customHeight="1"/>
    <row r="425" ht="112.5" customHeight="1"/>
    <row r="426" ht="112.5" customHeight="1"/>
    <row r="427" ht="112.5" customHeight="1"/>
    <row r="428" ht="112.5" customHeight="1"/>
    <row r="429" ht="112.5" customHeight="1"/>
    <row r="430" ht="112.5" customHeight="1"/>
    <row r="431" ht="112.5" customHeight="1"/>
    <row r="432" ht="112.5" customHeight="1"/>
    <row r="433" ht="112.5" customHeight="1"/>
    <row r="434" ht="112.5" customHeight="1"/>
    <row r="435" ht="112.5" customHeight="1"/>
    <row r="436" ht="112.5" customHeight="1"/>
    <row r="437" ht="112.5" customHeight="1"/>
    <row r="438" ht="112.5" customHeight="1"/>
    <row r="439" ht="112.5" customHeight="1"/>
    <row r="440" ht="112.5" customHeight="1"/>
    <row r="441" ht="112.5" customHeight="1"/>
    <row r="442" ht="112.5" customHeight="1"/>
    <row r="443" ht="112.5" customHeight="1"/>
    <row r="444" ht="112.5" customHeight="1"/>
    <row r="445" ht="112.5" customHeight="1"/>
    <row r="446" ht="112.5" customHeight="1"/>
    <row r="447" ht="112.5" customHeight="1"/>
    <row r="448" ht="112.5" customHeight="1"/>
    <row r="449" ht="112.5" customHeight="1"/>
    <row r="450" ht="112.5" customHeight="1"/>
    <row r="451" ht="112.5" customHeight="1"/>
    <row r="452" ht="112.5" customHeight="1"/>
    <row r="453" ht="112.5" customHeight="1"/>
    <row r="454" ht="112.5" customHeight="1"/>
    <row r="455" ht="112.5" customHeight="1"/>
    <row r="456" ht="112.5" customHeight="1"/>
    <row r="457" ht="112.5" customHeight="1"/>
    <row r="458" ht="112.5" customHeight="1"/>
    <row r="459" ht="112.5" customHeight="1"/>
    <row r="460" ht="112.5" customHeight="1"/>
    <row r="461" ht="112.5" customHeight="1"/>
    <row r="462" ht="112.5" customHeight="1"/>
    <row r="463" ht="112.5" customHeight="1"/>
    <row r="464" ht="112.5" customHeight="1"/>
    <row r="465" ht="112.5" customHeight="1"/>
    <row r="466" ht="112.5" customHeight="1"/>
    <row r="467" ht="112.5" customHeight="1"/>
    <row r="468" ht="112.5" customHeight="1"/>
    <row r="469" ht="112.5" customHeight="1"/>
    <row r="470" ht="112.5" customHeight="1"/>
    <row r="471" ht="112.5" customHeight="1"/>
    <row r="472" ht="112.5" customHeight="1"/>
    <row r="473" ht="112.5" customHeight="1"/>
    <row r="474" ht="112.5" customHeight="1"/>
    <row r="475" ht="112.5" customHeight="1"/>
    <row r="476" ht="112.5" customHeight="1"/>
    <row r="477" ht="112.5" customHeight="1"/>
    <row r="478" ht="112.5" customHeight="1"/>
    <row r="479" ht="112.5" customHeight="1"/>
    <row r="480" ht="112.5" customHeight="1"/>
    <row r="481" ht="112.5" customHeight="1"/>
    <row r="482" ht="112.5" customHeight="1"/>
    <row r="483" ht="112.5" customHeight="1"/>
    <row r="484" ht="112.5" customHeight="1"/>
    <row r="485" ht="112.5" customHeight="1"/>
    <row r="486" ht="112.5" customHeight="1"/>
    <row r="487" ht="112.5" customHeight="1"/>
    <row r="488" ht="112.5" customHeight="1"/>
    <row r="489" ht="112.5" customHeight="1"/>
    <row r="490" ht="112.5" customHeight="1"/>
    <row r="491" ht="112.5" customHeight="1"/>
    <row r="492" ht="112.5" customHeight="1"/>
    <row r="493" ht="112.5" customHeight="1"/>
    <row r="494" ht="112.5" customHeight="1"/>
    <row r="495" ht="112.5" customHeight="1"/>
    <row r="496" ht="112.5" customHeight="1"/>
    <row r="497" ht="112.5" customHeight="1"/>
    <row r="498" ht="112.5" customHeight="1"/>
    <row r="499" ht="112.5" customHeight="1"/>
    <row r="500" ht="112.5" customHeight="1"/>
    <row r="501" ht="112.5" customHeight="1"/>
    <row r="502" ht="112.5" customHeight="1"/>
    <row r="503" ht="112.5" customHeight="1"/>
    <row r="504" ht="112.5" customHeight="1"/>
    <row r="505" ht="112.5" customHeight="1"/>
    <row r="506" ht="112.5" customHeight="1"/>
    <row r="507" ht="112.5" customHeight="1"/>
    <row r="508" ht="112.5" customHeight="1"/>
    <row r="509" ht="112.5" customHeight="1"/>
    <row r="510" ht="112.5" customHeight="1"/>
    <row r="511" ht="112.5" customHeight="1"/>
    <row r="512" ht="112.5" customHeight="1"/>
    <row r="513" ht="112.5" customHeight="1"/>
    <row r="514" ht="112.5" customHeight="1"/>
    <row r="515" ht="112.5" customHeight="1"/>
    <row r="516" ht="112.5" customHeight="1"/>
    <row r="517" ht="112.5" customHeight="1"/>
    <row r="518" ht="112.5" customHeight="1"/>
    <row r="519" ht="112.5" customHeight="1"/>
    <row r="520" ht="112.5" customHeight="1"/>
    <row r="521" ht="112.5" customHeight="1"/>
    <row r="522" ht="112.5" customHeight="1"/>
    <row r="523" ht="112.5" customHeight="1"/>
    <row r="524" ht="112.5" customHeight="1"/>
    <row r="525" ht="112.5" customHeight="1"/>
    <row r="526" ht="112.5" customHeight="1"/>
    <row r="527" ht="112.5" customHeight="1"/>
    <row r="528" ht="112.5" customHeight="1"/>
    <row r="529" ht="112.5" customHeight="1"/>
    <row r="530" ht="112.5" customHeight="1"/>
    <row r="531" ht="112.5" customHeight="1"/>
    <row r="532" ht="112.5" customHeight="1"/>
    <row r="533" ht="112.5" customHeight="1"/>
    <row r="534" ht="112.5" customHeight="1"/>
    <row r="535" ht="112.5" customHeight="1"/>
    <row r="536" ht="112.5" customHeight="1"/>
    <row r="537" ht="112.5" customHeight="1"/>
    <row r="538" ht="112.5" customHeight="1"/>
    <row r="539" ht="112.5" customHeight="1"/>
    <row r="540" ht="112.5" customHeight="1"/>
    <row r="541" ht="112.5" customHeight="1"/>
    <row r="542" ht="112.5" customHeight="1"/>
    <row r="543" ht="112.5" customHeight="1"/>
    <row r="544" ht="112.5" customHeight="1"/>
    <row r="545" ht="112.5" customHeight="1"/>
    <row r="546" ht="112.5" customHeight="1"/>
    <row r="547" ht="112.5" customHeight="1"/>
    <row r="548" ht="112.5" customHeight="1"/>
    <row r="549" ht="112.5" customHeight="1"/>
    <row r="550" ht="112.5" customHeight="1"/>
    <row r="551" ht="112.5" customHeight="1"/>
    <row r="552" ht="112.5" customHeight="1"/>
    <row r="553" ht="112.5" customHeight="1"/>
    <row r="554" ht="112.5" customHeight="1"/>
    <row r="555" ht="112.5" customHeight="1"/>
    <row r="556" ht="112.5" customHeight="1"/>
    <row r="557" ht="112.5" customHeight="1"/>
    <row r="558" ht="112.5" customHeight="1"/>
    <row r="559" ht="112.5" customHeight="1"/>
    <row r="560" ht="112.5" customHeight="1"/>
    <row r="561" ht="112.5" customHeight="1"/>
    <row r="562" ht="112.5" customHeight="1"/>
    <row r="563" ht="112.5" customHeight="1"/>
    <row r="564" ht="112.5" customHeight="1"/>
    <row r="565" ht="112.5" customHeight="1"/>
    <row r="566" ht="112.5" customHeight="1"/>
    <row r="567" ht="112.5" customHeight="1"/>
    <row r="568" ht="112.5" customHeight="1"/>
    <row r="569" ht="112.5" customHeight="1"/>
    <row r="570" ht="112.5" customHeight="1"/>
    <row r="571" ht="112.5" customHeight="1"/>
    <row r="572" ht="112.5" customHeight="1"/>
    <row r="573" ht="112.5" customHeight="1"/>
    <row r="574" ht="112.5" customHeight="1"/>
    <row r="575" ht="112.5" customHeight="1"/>
    <row r="576" ht="112.5" customHeight="1"/>
    <row r="577" ht="112.5" customHeight="1"/>
    <row r="578" ht="112.5" customHeight="1"/>
    <row r="579" ht="112.5" customHeight="1"/>
    <row r="580" ht="112.5" customHeight="1"/>
    <row r="581" ht="112.5" customHeight="1"/>
    <row r="582" ht="112.5" customHeight="1"/>
    <row r="583" ht="112.5" customHeight="1"/>
    <row r="584" ht="112.5" customHeight="1"/>
    <row r="585" ht="112.5" customHeight="1"/>
    <row r="586" ht="112.5" customHeight="1"/>
    <row r="587" ht="112.5" customHeight="1"/>
    <row r="588" ht="112.5" customHeight="1"/>
    <row r="589" ht="112.5" customHeight="1"/>
    <row r="590" ht="112.5" customHeight="1"/>
    <row r="591" ht="112.5" customHeight="1"/>
    <row r="592" ht="112.5" customHeight="1"/>
    <row r="593" ht="112.5" customHeight="1"/>
    <row r="594" ht="112.5" customHeight="1"/>
    <row r="595" ht="112.5" customHeight="1"/>
    <row r="596" ht="112.5" customHeight="1"/>
    <row r="597" ht="112.5" customHeight="1"/>
    <row r="598" ht="112.5" customHeight="1"/>
    <row r="599" ht="112.5" customHeight="1"/>
    <row r="600" ht="112.5" customHeight="1"/>
    <row r="601" ht="112.5" customHeight="1"/>
    <row r="602" ht="112.5" customHeight="1"/>
    <row r="603" ht="112.5" customHeight="1"/>
    <row r="604" ht="112.5" customHeight="1"/>
    <row r="605" ht="112.5" customHeight="1"/>
    <row r="606" ht="112.5" customHeight="1"/>
    <row r="607" ht="112.5" customHeight="1"/>
    <row r="608" ht="112.5" customHeight="1"/>
    <row r="609" ht="112.5" customHeight="1"/>
    <row r="610" ht="112.5" customHeight="1"/>
    <row r="611" ht="112.5" customHeight="1"/>
    <row r="612" ht="112.5" customHeight="1"/>
    <row r="613" ht="112.5" customHeight="1"/>
    <row r="614" ht="112.5" customHeight="1"/>
    <row r="615" ht="112.5" customHeight="1"/>
    <row r="616" ht="112.5" customHeight="1"/>
    <row r="617" ht="112.5" customHeight="1"/>
    <row r="618" ht="112.5" customHeight="1"/>
    <row r="619" ht="112.5" customHeight="1"/>
    <row r="620" ht="112.5" customHeight="1"/>
    <row r="621" ht="112.5" customHeight="1"/>
    <row r="622" ht="112.5" customHeight="1"/>
    <row r="623" ht="112.5" customHeight="1"/>
    <row r="624" ht="112.5" customHeight="1"/>
    <row r="625" ht="112.5" customHeight="1"/>
    <row r="626" ht="112.5" customHeight="1"/>
    <row r="627" ht="112.5" customHeight="1"/>
    <row r="628" ht="112.5" customHeight="1"/>
    <row r="629" ht="112.5" customHeight="1"/>
    <row r="630" ht="112.5" customHeight="1"/>
    <row r="631" ht="112.5" customHeight="1"/>
    <row r="632" ht="112.5" customHeight="1"/>
    <row r="633" ht="112.5" customHeight="1"/>
    <row r="634" ht="112.5" customHeight="1"/>
    <row r="635" ht="112.5" customHeight="1"/>
    <row r="636" ht="112.5" customHeight="1"/>
    <row r="637" ht="112.5" customHeight="1"/>
    <row r="638" ht="112.5" customHeight="1"/>
    <row r="639" ht="112.5" customHeight="1"/>
    <row r="640" ht="112.5" customHeight="1"/>
    <row r="641" ht="112.5" customHeight="1"/>
    <row r="642" ht="112.5" customHeight="1"/>
    <row r="643" ht="112.5" customHeight="1"/>
    <row r="644" ht="112.5" customHeight="1"/>
    <row r="645" ht="112.5" customHeight="1"/>
    <row r="646" ht="112.5" customHeight="1"/>
    <row r="647" ht="112.5" customHeight="1"/>
    <row r="648" ht="112.5" customHeight="1"/>
    <row r="649" ht="112.5" customHeight="1"/>
    <row r="650" ht="112.5" customHeight="1"/>
    <row r="651" ht="112.5" customHeight="1"/>
    <row r="652" ht="112.5" customHeight="1"/>
    <row r="653" ht="112.5" customHeight="1"/>
    <row r="654" ht="112.5" customHeight="1"/>
    <row r="655" ht="112.5" customHeight="1"/>
    <row r="656" ht="112.5" customHeight="1"/>
    <row r="657" ht="112.5" customHeight="1"/>
    <row r="658" ht="112.5" customHeight="1"/>
    <row r="659" ht="112.5" customHeight="1"/>
    <row r="660" ht="112.5" customHeight="1"/>
    <row r="661" ht="112.5" customHeight="1"/>
    <row r="662" ht="112.5" customHeight="1"/>
    <row r="663" ht="112.5" customHeight="1"/>
    <row r="664" ht="112.5" customHeight="1"/>
    <row r="665" ht="112.5" customHeight="1"/>
    <row r="666" ht="112.5" customHeight="1"/>
    <row r="667" ht="112.5" customHeight="1"/>
    <row r="668" ht="112.5" customHeight="1"/>
    <row r="669" ht="112.5" customHeight="1"/>
    <row r="670" ht="112.5" customHeight="1"/>
    <row r="671" ht="112.5" customHeight="1"/>
    <row r="672" ht="112.5" customHeight="1"/>
    <row r="673" ht="112.5" customHeight="1"/>
    <row r="674" ht="112.5" customHeight="1"/>
    <row r="675" ht="112.5" customHeight="1"/>
    <row r="676" ht="112.5" customHeight="1"/>
    <row r="677" ht="112.5" customHeight="1"/>
    <row r="678" ht="112.5" customHeight="1"/>
    <row r="679" ht="112.5" customHeight="1"/>
    <row r="680" ht="112.5" customHeight="1"/>
    <row r="681" ht="112.5" customHeight="1"/>
    <row r="682" ht="112.5" customHeight="1"/>
    <row r="683" ht="112.5" customHeight="1"/>
    <row r="684" ht="112.5" customHeight="1"/>
    <row r="685" ht="112.5" customHeight="1"/>
    <row r="686" ht="112.5" customHeight="1"/>
    <row r="687" ht="112.5" customHeight="1"/>
    <row r="688" ht="112.5" customHeight="1"/>
    <row r="689" ht="112.5" customHeight="1"/>
    <row r="690" ht="112.5" customHeight="1"/>
    <row r="691" ht="112.5" customHeight="1"/>
    <row r="692" ht="112.5" customHeight="1"/>
    <row r="693" ht="112.5" customHeight="1"/>
    <row r="694" ht="112.5" customHeight="1"/>
    <row r="695" ht="112.5" customHeight="1"/>
    <row r="696" ht="112.5" customHeight="1"/>
    <row r="697" ht="112.5" customHeight="1"/>
    <row r="698" ht="112.5" customHeight="1"/>
    <row r="699" ht="112.5" customHeight="1"/>
    <row r="700" ht="112.5" customHeight="1"/>
    <row r="701" ht="112.5" customHeight="1"/>
    <row r="702" ht="112.5" customHeight="1"/>
    <row r="703" ht="112.5" customHeight="1"/>
    <row r="704" ht="112.5" customHeight="1"/>
    <row r="705" ht="112.5" customHeight="1"/>
    <row r="706" ht="112.5" customHeight="1"/>
    <row r="707" ht="112.5" customHeight="1"/>
    <row r="708" ht="112.5" customHeight="1"/>
    <row r="709" ht="112.5" customHeight="1"/>
    <row r="710" ht="112.5" customHeight="1"/>
    <row r="711" ht="112.5" customHeight="1"/>
    <row r="712" ht="112.5" customHeight="1"/>
    <row r="713" ht="112.5" customHeight="1"/>
    <row r="714" ht="112.5" customHeight="1"/>
    <row r="715" ht="112.5" customHeight="1"/>
    <row r="716" ht="112.5" customHeight="1"/>
    <row r="717" ht="112.5" customHeight="1"/>
    <row r="718" ht="112.5" customHeight="1"/>
    <row r="719" ht="112.5" customHeight="1"/>
    <row r="720" ht="112.5" customHeight="1"/>
    <row r="721" ht="112.5" customHeight="1"/>
    <row r="722" ht="112.5" customHeight="1"/>
    <row r="723" ht="112.5" customHeight="1"/>
    <row r="724" ht="112.5" customHeight="1"/>
    <row r="725" ht="112.5" customHeight="1"/>
    <row r="726" ht="112.5" customHeight="1"/>
    <row r="727" ht="112.5" customHeight="1"/>
    <row r="728" ht="112.5" customHeight="1"/>
    <row r="729" ht="112.5" customHeight="1"/>
    <row r="730" ht="112.5" customHeight="1"/>
    <row r="731" ht="112.5" customHeight="1"/>
    <row r="732" ht="112.5" customHeight="1"/>
    <row r="733" ht="112.5" customHeight="1"/>
    <row r="734" ht="112.5" customHeight="1"/>
    <row r="735" ht="112.5" customHeight="1"/>
    <row r="736" ht="112.5" customHeight="1"/>
    <row r="737" ht="112.5" customHeight="1"/>
    <row r="738" ht="112.5" customHeight="1"/>
    <row r="739" ht="112.5" customHeight="1"/>
    <row r="740" ht="112.5" customHeight="1"/>
    <row r="741" ht="112.5" customHeight="1"/>
    <row r="742" ht="112.5" customHeight="1"/>
    <row r="743" ht="112.5" customHeight="1"/>
    <row r="744" ht="112.5" customHeight="1"/>
    <row r="745" ht="112.5" customHeight="1"/>
    <row r="746" ht="112.5" customHeight="1"/>
    <row r="747" ht="112.5" customHeight="1"/>
    <row r="748" ht="112.5" customHeight="1"/>
    <row r="749" ht="112.5" customHeight="1"/>
    <row r="750" ht="112.5" customHeight="1"/>
    <row r="751" ht="112.5" customHeight="1"/>
    <row r="752" ht="112.5" customHeight="1"/>
    <row r="753" ht="112.5" customHeight="1"/>
    <row r="754" ht="112.5" customHeight="1"/>
    <row r="755" ht="112.5" customHeight="1"/>
    <row r="756" ht="112.5" customHeight="1"/>
    <row r="757" ht="112.5" customHeight="1"/>
    <row r="758" ht="112.5" customHeight="1"/>
    <row r="759" ht="112.5" customHeight="1"/>
    <row r="760" ht="112.5" customHeight="1"/>
    <row r="761" ht="112.5" customHeight="1"/>
    <row r="762" ht="112.5" customHeight="1"/>
    <row r="763" ht="112.5" customHeight="1"/>
    <row r="764" ht="112.5" customHeight="1"/>
    <row r="765" ht="112.5" customHeight="1"/>
    <row r="766" ht="112.5" customHeight="1"/>
    <row r="767" ht="112.5" customHeight="1"/>
    <row r="768" ht="112.5" customHeight="1"/>
    <row r="769" ht="112.5" customHeight="1"/>
    <row r="770" ht="112.5" customHeight="1"/>
    <row r="771" ht="112.5" customHeight="1"/>
    <row r="772" ht="112.5" customHeight="1"/>
    <row r="773" ht="112.5" customHeight="1"/>
    <row r="774" ht="112.5" customHeight="1"/>
    <row r="775" ht="112.5" customHeight="1"/>
    <row r="776" ht="112.5" customHeight="1"/>
    <row r="777" ht="112.5" customHeight="1"/>
    <row r="778" ht="112.5" customHeight="1"/>
    <row r="779" ht="112.5" customHeight="1"/>
    <row r="780" ht="112.5" customHeight="1"/>
    <row r="781" ht="112.5" customHeight="1"/>
    <row r="782" ht="112.5" customHeight="1"/>
    <row r="783" ht="112.5" customHeight="1"/>
    <row r="784" ht="112.5" customHeight="1"/>
    <row r="785" ht="112.5" customHeight="1"/>
    <row r="786" ht="112.5" customHeight="1"/>
    <row r="787" ht="112.5" customHeight="1"/>
    <row r="788" ht="112.5" customHeight="1"/>
    <row r="789" ht="112.5" customHeight="1"/>
    <row r="790" ht="112.5" customHeight="1"/>
    <row r="791" ht="112.5" customHeight="1"/>
    <row r="792" ht="112.5" customHeight="1"/>
    <row r="793" ht="112.5" customHeight="1"/>
    <row r="794" ht="112.5" customHeight="1"/>
    <row r="795" ht="112.5" customHeight="1"/>
    <row r="796" ht="112.5" customHeight="1"/>
    <row r="797" ht="112.5" customHeight="1"/>
    <row r="798" ht="112.5" customHeight="1"/>
    <row r="799" ht="112.5" customHeight="1"/>
    <row r="800" ht="112.5" customHeight="1"/>
    <row r="801" ht="112.5" customHeight="1"/>
    <row r="802" ht="112.5" customHeight="1"/>
    <row r="803" ht="112.5" customHeight="1"/>
    <row r="804" ht="112.5" customHeight="1"/>
    <row r="805" ht="112.5" customHeight="1"/>
    <row r="806" ht="112.5" customHeight="1"/>
    <row r="807" ht="112.5" customHeight="1"/>
    <row r="808" ht="112.5" customHeight="1"/>
    <row r="809" ht="112.5" customHeight="1"/>
    <row r="810" ht="112.5" customHeight="1"/>
    <row r="811" ht="112.5" customHeight="1"/>
    <row r="812" ht="112.5" customHeight="1"/>
    <row r="813" ht="112.5" customHeight="1"/>
    <row r="814" ht="112.5" customHeight="1"/>
    <row r="815" ht="112.5" customHeight="1"/>
    <row r="816" ht="112.5" customHeight="1"/>
    <row r="817" ht="112.5" customHeight="1"/>
    <row r="818" ht="112.5" customHeight="1"/>
    <row r="819" ht="112.5" customHeight="1"/>
    <row r="820" ht="112.5" customHeight="1"/>
    <row r="821" ht="112.5" customHeight="1"/>
    <row r="822" ht="112.5" customHeight="1"/>
    <row r="823" ht="112.5" customHeight="1"/>
    <row r="824" ht="112.5" customHeight="1"/>
    <row r="825" ht="112.5" customHeight="1"/>
    <row r="826" ht="112.5" customHeight="1"/>
    <row r="827" ht="112.5" customHeight="1"/>
    <row r="828" ht="112.5" customHeight="1"/>
    <row r="829" ht="112.5" customHeight="1"/>
    <row r="830" ht="112.5" customHeight="1"/>
    <row r="831" ht="112.5" customHeight="1"/>
    <row r="832" ht="112.5" customHeight="1"/>
    <row r="833" ht="112.5" customHeight="1"/>
    <row r="834" ht="112.5" customHeight="1"/>
    <row r="835" ht="112.5" customHeight="1"/>
    <row r="836" ht="112.5" customHeight="1"/>
    <row r="837" ht="112.5" customHeight="1"/>
    <row r="838" ht="112.5" customHeight="1"/>
    <row r="839" ht="112.5" customHeight="1"/>
    <row r="840" ht="112.5" customHeight="1"/>
    <row r="841" ht="112.5" customHeight="1"/>
    <row r="842" ht="112.5" customHeight="1"/>
    <row r="843" ht="112.5" customHeight="1"/>
    <row r="844" ht="112.5" customHeight="1"/>
    <row r="845" ht="112.5" customHeight="1"/>
    <row r="846" ht="112.5" customHeight="1"/>
    <row r="847" ht="112.5" customHeight="1"/>
    <row r="848" ht="112.5" customHeight="1"/>
    <row r="849" ht="112.5" customHeight="1"/>
    <row r="850" ht="112.5" customHeight="1"/>
    <row r="851" ht="112.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2">
    <mergeCell ref="B8:G8"/>
    <mergeCell ref="J8:N8"/>
    <mergeCell ref="B9:H9"/>
    <mergeCell ref="J9:N9"/>
    <mergeCell ref="B10:H10"/>
    <mergeCell ref="J10:N10"/>
    <mergeCell ref="J11:N11"/>
    <mergeCell ref="B11:H11"/>
    <mergeCell ref="B12:H12"/>
    <mergeCell ref="J12:L12"/>
    <mergeCell ref="M12:N12"/>
    <mergeCell ref="B13:E13"/>
    <mergeCell ref="F13:H13"/>
    <mergeCell ref="J13:N13"/>
    <mergeCell ref="B14:D14"/>
    <mergeCell ref="E14:F14"/>
    <mergeCell ref="G14:I14"/>
    <mergeCell ref="J14:N14"/>
    <mergeCell ref="L28:L29"/>
    <mergeCell ref="N28:N29"/>
    <mergeCell ref="J15:N15"/>
    <mergeCell ref="B16:N16"/>
    <mergeCell ref="D28:D29"/>
    <mergeCell ref="E28:E29"/>
    <mergeCell ref="F28:F29"/>
    <mergeCell ref="G28:G29"/>
    <mergeCell ref="H28:H29"/>
    <mergeCell ref="B15:D15"/>
    <mergeCell ref="E15:F15"/>
    <mergeCell ref="G15:I15"/>
    <mergeCell ref="I28:I29"/>
    <mergeCell ref="J28:J2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Z2"/>
  <sheetViews>
    <sheetView topLeftCell="E1" workbookViewId="0"/>
  </sheetViews>
  <sheetFormatPr baseColWidth="10" defaultColWidth="12.6328125" defaultRowHeight="15" customHeight="1"/>
  <cols>
    <col min="2" max="2" width="17" customWidth="1"/>
    <col min="4" max="4" width="16.08984375" customWidth="1"/>
    <col min="5" max="5" width="24" customWidth="1"/>
    <col min="7" max="7" width="20.36328125" customWidth="1"/>
    <col min="8" max="8" width="19.26953125" customWidth="1"/>
    <col min="9" max="9" width="20.08984375" customWidth="1"/>
  </cols>
  <sheetData>
    <row r="1" spans="2:26" ht="15" customHeight="1">
      <c r="B1" s="51" t="s">
        <v>25</v>
      </c>
      <c r="C1" s="52" t="s">
        <v>26</v>
      </c>
      <c r="D1" s="52" t="s">
        <v>27</v>
      </c>
      <c r="E1" s="52" t="s">
        <v>28</v>
      </c>
      <c r="F1" s="51" t="s">
        <v>8</v>
      </c>
      <c r="G1" s="51" t="s">
        <v>29</v>
      </c>
      <c r="H1" s="51" t="s">
        <v>30</v>
      </c>
      <c r="I1" s="52" t="s">
        <v>31</v>
      </c>
      <c r="J1" s="50" t="s">
        <v>32</v>
      </c>
      <c r="K1" s="50" t="s">
        <v>33</v>
      </c>
      <c r="L1" s="50" t="s">
        <v>34</v>
      </c>
    </row>
    <row r="2" spans="2:26" ht="15" customHeight="1">
      <c r="B2" s="50" t="s">
        <v>35</v>
      </c>
      <c r="C2" s="50" t="s">
        <v>36</v>
      </c>
      <c r="D2" s="50" t="s">
        <v>37</v>
      </c>
      <c r="E2" s="53">
        <v>45875</v>
      </c>
      <c r="F2" s="50" t="s">
        <v>38</v>
      </c>
      <c r="G2" s="50" t="s">
        <v>39</v>
      </c>
      <c r="H2" s="50" t="s">
        <v>37</v>
      </c>
      <c r="I2" s="50" t="s">
        <v>40</v>
      </c>
      <c r="J2" s="50" t="s">
        <v>37</v>
      </c>
      <c r="K2" s="50" t="s">
        <v>37</v>
      </c>
      <c r="L2" s="50" t="s">
        <v>21</v>
      </c>
      <c r="M2" s="50" t="s">
        <v>22</v>
      </c>
      <c r="N2" s="50" t="s">
        <v>23</v>
      </c>
      <c r="O2" s="50" t="s">
        <v>24</v>
      </c>
      <c r="P2" s="50" t="s">
        <v>20</v>
      </c>
      <c r="Q2" s="50"/>
      <c r="R2" s="50"/>
      <c r="S2" s="50"/>
      <c r="Z2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Instancia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samuelllano166@hotmail.com</cp:lastModifiedBy>
  <dcterms:modified xsi:type="dcterms:W3CDTF">2026-05-12T18:45:52Z</dcterms:modified>
</cp:coreProperties>
</file>